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\My projects\"/>
    </mc:Choice>
  </mc:AlternateContent>
  <bookViews>
    <workbookView xWindow="0" yWindow="0" windowWidth="16815" windowHeight="7770" activeTab="1"/>
  </bookViews>
  <sheets>
    <sheet name="Cover Page" sheetId="1" r:id="rId1"/>
    <sheet name="Guide" sheetId="2" r:id="rId2"/>
    <sheet name="summary" sheetId="3" r:id="rId3"/>
    <sheet name="Historical" sheetId="4" r:id="rId4"/>
    <sheet name="Drivers" sheetId="5" r:id="rId5"/>
    <sheet name="Scenario" sheetId="6" r:id="rId6"/>
    <sheet name="Calculation" sheetId="7" r:id="rId7"/>
    <sheet name="P or L" sheetId="8" r:id="rId8"/>
    <sheet name="BS" sheetId="9" r:id="rId9"/>
    <sheet name="Cashflow" sheetId="10" r:id="rId10"/>
    <sheet name="Analysis" sheetId="11" r:id="rId11"/>
  </sheets>
  <definedNames>
    <definedName name="BSCheck">BS!$F$58</definedName>
    <definedName name="circularityswitch">Guide!$E$20</definedName>
    <definedName name="COY">Guide!$E$8</definedName>
    <definedName name="currency">Guide!$E$19</definedName>
    <definedName name="livescenario">Scenario!$D$12</definedName>
    <definedName name="scenariolist">Scenario!$D$13:$D$15</definedName>
    <definedName name="scenarioswitch">Scenario!$F$13</definedName>
  </definedNames>
  <calcPr calcId="162913"/>
</workbook>
</file>

<file path=xl/calcChain.xml><?xml version="1.0" encoding="utf-8"?>
<calcChain xmlns="http://schemas.openxmlformats.org/spreadsheetml/2006/main">
  <c r="E32" i="11" l="1"/>
  <c r="D32" i="11"/>
  <c r="E31" i="11"/>
  <c r="D31" i="11"/>
  <c r="E28" i="11"/>
  <c r="E27" i="11"/>
  <c r="E24" i="11"/>
  <c r="E23" i="11"/>
  <c r="E20" i="11"/>
  <c r="E19" i="11"/>
  <c r="K6" i="11"/>
  <c r="J6" i="11"/>
  <c r="L5" i="11"/>
  <c r="L6" i="11" s="1"/>
  <c r="M5" i="11" s="1"/>
  <c r="M6" i="11" s="1"/>
  <c r="N5" i="11" s="1"/>
  <c r="N6" i="11" s="1"/>
  <c r="O5" i="11" s="1"/>
  <c r="O6" i="11" s="1"/>
  <c r="P5" i="11" s="1"/>
  <c r="P6" i="11" s="1"/>
  <c r="Q5" i="11" s="1"/>
  <c r="Q6" i="11" s="1"/>
  <c r="R5" i="11" s="1"/>
  <c r="R6" i="11" s="1"/>
  <c r="K5" i="11"/>
  <c r="B2" i="11"/>
  <c r="N44" i="10"/>
  <c r="O42" i="10" s="1"/>
  <c r="E28" i="10"/>
  <c r="E27" i="10"/>
  <c r="E26" i="10"/>
  <c r="E23" i="10"/>
  <c r="E22" i="10"/>
  <c r="D22" i="10"/>
  <c r="E21" i="10"/>
  <c r="D21" i="10"/>
  <c r="E20" i="10"/>
  <c r="D20" i="10"/>
  <c r="E19" i="10"/>
  <c r="E18" i="10"/>
  <c r="E17" i="10"/>
  <c r="E16" i="10"/>
  <c r="E15" i="10"/>
  <c r="E14" i="10"/>
  <c r="E13" i="10"/>
  <c r="E12" i="10"/>
  <c r="E11" i="10"/>
  <c r="J6" i="10"/>
  <c r="K5" i="10" s="1"/>
  <c r="K6" i="10" s="1"/>
  <c r="Q5" i="10"/>
  <c r="Q6" i="10" s="1"/>
  <c r="R5" i="10" s="1"/>
  <c r="R6" i="10" s="1"/>
  <c r="L5" i="10"/>
  <c r="L6" i="10" s="1"/>
  <c r="M5" i="10" s="1"/>
  <c r="M6" i="10" s="1"/>
  <c r="N5" i="10" s="1"/>
  <c r="N6" i="10" s="1"/>
  <c r="O5" i="10" s="1"/>
  <c r="O6" i="10" s="1"/>
  <c r="P5" i="10" s="1"/>
  <c r="P6" i="10" s="1"/>
  <c r="B2" i="10"/>
  <c r="E58" i="9"/>
  <c r="E54" i="9"/>
  <c r="E53" i="9"/>
  <c r="N52" i="9"/>
  <c r="M52" i="9"/>
  <c r="L52" i="9"/>
  <c r="E52" i="9"/>
  <c r="N51" i="9"/>
  <c r="M51" i="9"/>
  <c r="L51" i="9"/>
  <c r="K51" i="9"/>
  <c r="E51" i="9"/>
  <c r="N50" i="9"/>
  <c r="M50" i="9"/>
  <c r="L50" i="9"/>
  <c r="E50" i="9"/>
  <c r="E49" i="9"/>
  <c r="E48" i="9"/>
  <c r="E46" i="9"/>
  <c r="N45" i="9"/>
  <c r="M45" i="9"/>
  <c r="L45" i="9"/>
  <c r="E45" i="9"/>
  <c r="E44" i="9"/>
  <c r="N43" i="9"/>
  <c r="M43" i="9"/>
  <c r="L43" i="9"/>
  <c r="E43" i="9"/>
  <c r="E42" i="9"/>
  <c r="N38" i="9"/>
  <c r="L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M38" i="9" s="1"/>
  <c r="L34" i="9"/>
  <c r="E34" i="9"/>
  <c r="E31" i="9"/>
  <c r="E30" i="9"/>
  <c r="N29" i="9"/>
  <c r="M29" i="9"/>
  <c r="L29" i="9"/>
  <c r="E29" i="9"/>
  <c r="N28" i="9"/>
  <c r="M28" i="9"/>
  <c r="L28" i="9"/>
  <c r="E28" i="9"/>
  <c r="E27" i="9"/>
  <c r="E26" i="9"/>
  <c r="N25" i="9"/>
  <c r="M25" i="9"/>
  <c r="L25" i="9"/>
  <c r="E25" i="9"/>
  <c r="E23" i="9"/>
  <c r="N22" i="9"/>
  <c r="M22" i="9"/>
  <c r="L22" i="9"/>
  <c r="E22" i="9"/>
  <c r="D22" i="9"/>
  <c r="E21" i="9"/>
  <c r="N20" i="9"/>
  <c r="M20" i="9"/>
  <c r="L20" i="9"/>
  <c r="E20" i="9"/>
  <c r="D20" i="9"/>
  <c r="N19" i="9"/>
  <c r="M19" i="9"/>
  <c r="L19" i="9"/>
  <c r="E19" i="9"/>
  <c r="D19" i="9"/>
  <c r="N18" i="9"/>
  <c r="M18" i="9"/>
  <c r="L18" i="9"/>
  <c r="E18" i="9"/>
  <c r="D18" i="9"/>
  <c r="N17" i="9"/>
  <c r="M17" i="9"/>
  <c r="L17" i="9"/>
  <c r="E17" i="9"/>
  <c r="D17" i="9"/>
  <c r="M6" i="9"/>
  <c r="N5" i="9" s="1"/>
  <c r="N6" i="9" s="1"/>
  <c r="O5" i="9" s="1"/>
  <c r="O6" i="9" s="1"/>
  <c r="P5" i="9" s="1"/>
  <c r="P6" i="9" s="1"/>
  <c r="Q5" i="9" s="1"/>
  <c r="Q6" i="9" s="1"/>
  <c r="K6" i="9"/>
  <c r="J6" i="9"/>
  <c r="R5" i="9"/>
  <c r="R6" i="9" s="1"/>
  <c r="L5" i="9"/>
  <c r="L6" i="9" s="1"/>
  <c r="M5" i="9" s="1"/>
  <c r="K5" i="9"/>
  <c r="B2" i="9"/>
  <c r="E30" i="8"/>
  <c r="N29" i="8"/>
  <c r="M29" i="8"/>
  <c r="L29" i="8"/>
  <c r="E29" i="8"/>
  <c r="E28" i="8"/>
  <c r="N27" i="8"/>
  <c r="M27" i="8"/>
  <c r="L27" i="8"/>
  <c r="E27" i="8"/>
  <c r="N26" i="8"/>
  <c r="M26" i="8"/>
  <c r="L26" i="8"/>
  <c r="E26" i="8"/>
  <c r="N25" i="8"/>
  <c r="M25" i="8"/>
  <c r="L25" i="8"/>
  <c r="E25" i="8"/>
  <c r="D25" i="8"/>
  <c r="N24" i="8"/>
  <c r="M24" i="8"/>
  <c r="L24" i="8"/>
  <c r="E24" i="8"/>
  <c r="E23" i="8"/>
  <c r="N22" i="8"/>
  <c r="M22" i="8"/>
  <c r="L22" i="8"/>
  <c r="E22" i="8"/>
  <c r="D22" i="8"/>
  <c r="N21" i="8"/>
  <c r="M21" i="8"/>
  <c r="L21" i="8"/>
  <c r="E21" i="8"/>
  <c r="D21" i="8"/>
  <c r="D14" i="10" s="1"/>
  <c r="N20" i="8"/>
  <c r="M20" i="8"/>
  <c r="L20" i="8"/>
  <c r="E20" i="8"/>
  <c r="D20" i="8"/>
  <c r="D13" i="10" s="1"/>
  <c r="E19" i="8"/>
  <c r="E18" i="8"/>
  <c r="N17" i="8"/>
  <c r="M17" i="8"/>
  <c r="L17" i="8"/>
  <c r="E17" i="8"/>
  <c r="N16" i="8"/>
  <c r="M16" i="8"/>
  <c r="L16" i="8"/>
  <c r="E16" i="8"/>
  <c r="E15" i="8"/>
  <c r="K14" i="8"/>
  <c r="E14" i="8"/>
  <c r="N13" i="8"/>
  <c r="M13" i="8"/>
  <c r="L13" i="8"/>
  <c r="K13" i="8"/>
  <c r="E13" i="8"/>
  <c r="J6" i="8"/>
  <c r="L5" i="8"/>
  <c r="L6" i="8" s="1"/>
  <c r="M5" i="8" s="1"/>
  <c r="M6" i="8" s="1"/>
  <c r="N5" i="8" s="1"/>
  <c r="N6" i="8" s="1"/>
  <c r="O5" i="8" s="1"/>
  <c r="O6" i="8" s="1"/>
  <c r="P5" i="8" s="1"/>
  <c r="P6" i="8" s="1"/>
  <c r="Q5" i="8" s="1"/>
  <c r="Q6" i="8" s="1"/>
  <c r="R5" i="8" s="1"/>
  <c r="R6" i="8" s="1"/>
  <c r="K5" i="8"/>
  <c r="K6" i="8" s="1"/>
  <c r="B2" i="8"/>
  <c r="E127" i="7"/>
  <c r="N126" i="7"/>
  <c r="O127" i="7" s="1"/>
  <c r="O26" i="8" s="1"/>
  <c r="O20" i="10" s="1"/>
  <c r="E126" i="7"/>
  <c r="N119" i="7"/>
  <c r="D119" i="7"/>
  <c r="N118" i="7"/>
  <c r="D118" i="7"/>
  <c r="N117" i="7"/>
  <c r="D117" i="7"/>
  <c r="D116" i="7"/>
  <c r="D115" i="7"/>
  <c r="N111" i="7"/>
  <c r="D111" i="7"/>
  <c r="D110" i="7"/>
  <c r="D109" i="7"/>
  <c r="N108" i="7"/>
  <c r="D108" i="7"/>
  <c r="E104" i="7"/>
  <c r="E103" i="7"/>
  <c r="E102" i="7"/>
  <c r="N99" i="7"/>
  <c r="O97" i="7" s="1"/>
  <c r="E99" i="7"/>
  <c r="E98" i="7"/>
  <c r="E97" i="7"/>
  <c r="N94" i="7"/>
  <c r="O92" i="7" s="1"/>
  <c r="E94" i="7"/>
  <c r="E93" i="7"/>
  <c r="E92" i="7"/>
  <c r="E89" i="7"/>
  <c r="E88" i="7"/>
  <c r="E87" i="7"/>
  <c r="N84" i="7"/>
  <c r="O82" i="7" s="1"/>
  <c r="E84" i="7"/>
  <c r="E83" i="7"/>
  <c r="E82" i="7"/>
  <c r="N79" i="7"/>
  <c r="O77" i="7" s="1"/>
  <c r="E79" i="7"/>
  <c r="E78" i="7"/>
  <c r="E77" i="7"/>
  <c r="N74" i="7"/>
  <c r="O72" i="7" s="1"/>
  <c r="E74" i="7"/>
  <c r="E73" i="7"/>
  <c r="E72" i="7"/>
  <c r="N69" i="7"/>
  <c r="O67" i="7" s="1"/>
  <c r="E69" i="7"/>
  <c r="E68" i="7"/>
  <c r="E67" i="7"/>
  <c r="N64" i="7"/>
  <c r="E64" i="7"/>
  <c r="E63" i="7"/>
  <c r="E62" i="7"/>
  <c r="O61" i="7"/>
  <c r="E61" i="7"/>
  <c r="E58" i="7"/>
  <c r="E57" i="7"/>
  <c r="E56" i="7"/>
  <c r="E55" i="7"/>
  <c r="N52" i="7"/>
  <c r="O49" i="7" s="1"/>
  <c r="E52" i="7"/>
  <c r="E51" i="7"/>
  <c r="E50" i="7"/>
  <c r="E49" i="7"/>
  <c r="N46" i="7"/>
  <c r="E46" i="7"/>
  <c r="O45" i="7"/>
  <c r="O22" i="8" s="1"/>
  <c r="O15" i="10" s="1"/>
  <c r="E45" i="7"/>
  <c r="E44" i="7"/>
  <c r="O43" i="7"/>
  <c r="E43" i="7"/>
  <c r="N40" i="7"/>
  <c r="O37" i="7" s="1"/>
  <c r="E40" i="7"/>
  <c r="E39" i="7"/>
  <c r="E38" i="7"/>
  <c r="E37" i="7"/>
  <c r="N34" i="7"/>
  <c r="E34" i="7"/>
  <c r="O33" i="7"/>
  <c r="O20" i="8" s="1"/>
  <c r="O13" i="10" s="1"/>
  <c r="E33" i="7"/>
  <c r="E32" i="7"/>
  <c r="O31" i="7"/>
  <c r="E31" i="7"/>
  <c r="E25" i="7"/>
  <c r="R24" i="7"/>
  <c r="R25" i="8" s="1"/>
  <c r="R19" i="10" s="1"/>
  <c r="Q24" i="7"/>
  <c r="Q25" i="8" s="1"/>
  <c r="Q19" i="10" s="1"/>
  <c r="P24" i="7"/>
  <c r="P25" i="8" s="1"/>
  <c r="P19" i="10" s="1"/>
  <c r="O24" i="7"/>
  <c r="O25" i="8" s="1"/>
  <c r="O19" i="10" s="1"/>
  <c r="E24" i="7"/>
  <c r="R23" i="7"/>
  <c r="R24" i="8" s="1"/>
  <c r="R18" i="10" s="1"/>
  <c r="Q23" i="7"/>
  <c r="Q24" i="8" s="1"/>
  <c r="Q18" i="10" s="1"/>
  <c r="P23" i="7"/>
  <c r="P24" i="8" s="1"/>
  <c r="P18" i="10" s="1"/>
  <c r="O23" i="7"/>
  <c r="O24" i="8" s="1"/>
  <c r="O18" i="10" s="1"/>
  <c r="E23" i="7"/>
  <c r="E20" i="7"/>
  <c r="E19" i="7"/>
  <c r="E18" i="7"/>
  <c r="E15" i="7"/>
  <c r="N12" i="7"/>
  <c r="E12" i="7"/>
  <c r="J6" i="7"/>
  <c r="K5" i="7"/>
  <c r="K6" i="7" s="1"/>
  <c r="L5" i="7" s="1"/>
  <c r="L6" i="7" s="1"/>
  <c r="M5" i="7" s="1"/>
  <c r="M6" i="7" s="1"/>
  <c r="N5" i="7" s="1"/>
  <c r="N6" i="7" s="1"/>
  <c r="O5" i="7" s="1"/>
  <c r="O6" i="7" s="1"/>
  <c r="P5" i="7" s="1"/>
  <c r="P6" i="7" s="1"/>
  <c r="Q5" i="7" s="1"/>
  <c r="Q6" i="7" s="1"/>
  <c r="R5" i="7" s="1"/>
  <c r="R6" i="7" s="1"/>
  <c r="B2" i="7"/>
  <c r="R39" i="6"/>
  <c r="Q39" i="6"/>
  <c r="P39" i="6"/>
  <c r="O39" i="6"/>
  <c r="R38" i="6"/>
  <c r="Q38" i="6"/>
  <c r="P38" i="6"/>
  <c r="O38" i="6"/>
  <c r="R36" i="6" a="1"/>
  <c r="R36" i="6" s="1"/>
  <c r="Q36" i="6" a="1"/>
  <c r="Q36" i="6" s="1"/>
  <c r="P36" i="6" a="1"/>
  <c r="P36" i="6" s="1"/>
  <c r="O36" i="6" a="1"/>
  <c r="O36" i="6" s="1"/>
  <c r="R33" i="6"/>
  <c r="Q33" i="6"/>
  <c r="P33" i="6"/>
  <c r="O33" i="6"/>
  <c r="R32" i="6"/>
  <c r="Q32" i="6"/>
  <c r="P32" i="6"/>
  <c r="O32" i="6"/>
  <c r="R30" i="6" a="1"/>
  <c r="R30" i="6"/>
  <c r="Q30" i="6" a="1"/>
  <c r="Q30" i="6"/>
  <c r="P30" i="6" a="1"/>
  <c r="P30" i="6"/>
  <c r="O30" i="6" a="1"/>
  <c r="O30" i="6"/>
  <c r="R27" i="6"/>
  <c r="Q27" i="6"/>
  <c r="P27" i="6"/>
  <c r="O27" i="6"/>
  <c r="R26" i="6"/>
  <c r="Q26" i="6"/>
  <c r="P26" i="6"/>
  <c r="O26" i="6"/>
  <c r="R24" i="6" a="1"/>
  <c r="R24" i="6" s="1"/>
  <c r="Q24" i="6" a="1"/>
  <c r="Q24" i="6" s="1"/>
  <c r="P24" i="6" a="1"/>
  <c r="P24" i="6" s="1"/>
  <c r="O24" i="6" a="1"/>
  <c r="O24" i="6" s="1"/>
  <c r="R21" i="6"/>
  <c r="Q21" i="6"/>
  <c r="P21" i="6"/>
  <c r="O21" i="6"/>
  <c r="D21" i="6"/>
  <c r="D27" i="6" s="1"/>
  <c r="D33" i="6" s="1"/>
  <c r="D39" i="6" s="1"/>
  <c r="R20" i="6"/>
  <c r="Q20" i="6"/>
  <c r="P20" i="6"/>
  <c r="O20" i="6"/>
  <c r="D20" i="6"/>
  <c r="D26" i="6" s="1"/>
  <c r="D32" i="6" s="1"/>
  <c r="D38" i="6" s="1"/>
  <c r="D19" i="6"/>
  <c r="D25" i="6" s="1"/>
  <c r="D31" i="6" s="1"/>
  <c r="D37" i="6" s="1"/>
  <c r="R18" i="6" a="1"/>
  <c r="R18" i="6"/>
  <c r="Q18" i="6" a="1"/>
  <c r="Q18" i="6"/>
  <c r="P18" i="6" a="1"/>
  <c r="P18" i="6"/>
  <c r="O18" i="6" a="1"/>
  <c r="O18" i="6" s="1"/>
  <c r="D12" i="6" a="1"/>
  <c r="D12" i="6"/>
  <c r="J6" i="6"/>
  <c r="K5" i="6" s="1"/>
  <c r="K6" i="6" s="1"/>
  <c r="L5" i="6" s="1"/>
  <c r="L6" i="6" s="1"/>
  <c r="M5" i="6" s="1"/>
  <c r="M6" i="6" s="1"/>
  <c r="N5" i="6" s="1"/>
  <c r="N6" i="6" s="1"/>
  <c r="O5" i="6" s="1"/>
  <c r="O6" i="6" s="1"/>
  <c r="P5" i="6" s="1"/>
  <c r="P6" i="6" s="1"/>
  <c r="Q5" i="6" s="1"/>
  <c r="Q6" i="6" s="1"/>
  <c r="R5" i="6" s="1"/>
  <c r="R6" i="6" s="1"/>
  <c r="D6" i="6" a="1"/>
  <c r="D6" i="6" s="1"/>
  <c r="B2" i="6"/>
  <c r="E84" i="5"/>
  <c r="O82" i="5"/>
  <c r="P82" i="5" s="1"/>
  <c r="N82" i="5"/>
  <c r="M82" i="5"/>
  <c r="L82" i="5"/>
  <c r="E82" i="5"/>
  <c r="N81" i="5"/>
  <c r="M81" i="5"/>
  <c r="L81" i="5"/>
  <c r="E81" i="5"/>
  <c r="D81" i="5"/>
  <c r="E80" i="5"/>
  <c r="N76" i="5"/>
  <c r="M76" i="5"/>
  <c r="L76" i="5"/>
  <c r="N75" i="5"/>
  <c r="M75" i="5"/>
  <c r="L75" i="5"/>
  <c r="E75" i="5"/>
  <c r="N74" i="5"/>
  <c r="M74" i="5"/>
  <c r="L74" i="5"/>
  <c r="E74" i="5"/>
  <c r="N71" i="5"/>
  <c r="O71" i="5" s="1"/>
  <c r="M71" i="5"/>
  <c r="L71" i="5"/>
  <c r="E71" i="5"/>
  <c r="D71" i="5"/>
  <c r="E70" i="5"/>
  <c r="D70" i="5"/>
  <c r="P69" i="5"/>
  <c r="Q69" i="5" s="1"/>
  <c r="O69" i="5"/>
  <c r="O98" i="7" s="1"/>
  <c r="N69" i="5"/>
  <c r="M69" i="5"/>
  <c r="L69" i="5"/>
  <c r="E69" i="5"/>
  <c r="D69" i="5"/>
  <c r="N65" i="5"/>
  <c r="M65" i="5"/>
  <c r="L65" i="5"/>
  <c r="E65" i="5"/>
  <c r="N64" i="5"/>
  <c r="M64" i="5"/>
  <c r="L64" i="5"/>
  <c r="E64" i="5"/>
  <c r="O61" i="5"/>
  <c r="O78" i="7" s="1"/>
  <c r="O79" i="7" s="1"/>
  <c r="N61" i="5"/>
  <c r="M61" i="5"/>
  <c r="L61" i="5"/>
  <c r="E61" i="5"/>
  <c r="N59" i="5"/>
  <c r="O59" i="5" s="1"/>
  <c r="M59" i="5"/>
  <c r="L59" i="5"/>
  <c r="E59" i="5"/>
  <c r="N58" i="5"/>
  <c r="O58" i="5" s="1"/>
  <c r="M58" i="5"/>
  <c r="L58" i="5"/>
  <c r="E58" i="5"/>
  <c r="E54" i="5"/>
  <c r="N52" i="5"/>
  <c r="M52" i="5"/>
  <c r="L52" i="5"/>
  <c r="N49" i="5"/>
  <c r="O49" i="5" s="1"/>
  <c r="M49" i="5"/>
  <c r="L49" i="5"/>
  <c r="E49" i="5"/>
  <c r="D49" i="5"/>
  <c r="E48" i="5"/>
  <c r="D48" i="5"/>
  <c r="N47" i="5"/>
  <c r="O47" i="5" s="1"/>
  <c r="M47" i="5"/>
  <c r="L47" i="5"/>
  <c r="E47" i="5"/>
  <c r="D47" i="5"/>
  <c r="E44" i="5"/>
  <c r="E40" i="5"/>
  <c r="E36" i="5"/>
  <c r="D31" i="5"/>
  <c r="D30" i="5"/>
  <c r="N29" i="5"/>
  <c r="M29" i="5"/>
  <c r="L29" i="5"/>
  <c r="D29" i="5"/>
  <c r="N28" i="5"/>
  <c r="M28" i="5"/>
  <c r="L28" i="5"/>
  <c r="E28" i="5"/>
  <c r="D28" i="5"/>
  <c r="N27" i="5"/>
  <c r="M27" i="5"/>
  <c r="L27" i="5"/>
  <c r="E27" i="5"/>
  <c r="D27" i="5"/>
  <c r="N24" i="5"/>
  <c r="M24" i="5"/>
  <c r="L24" i="5"/>
  <c r="D24" i="5"/>
  <c r="N23" i="5"/>
  <c r="M23" i="5"/>
  <c r="L23" i="5"/>
  <c r="D23" i="5"/>
  <c r="N22" i="5"/>
  <c r="M22" i="5"/>
  <c r="L22" i="5"/>
  <c r="D22" i="5"/>
  <c r="R19" i="5"/>
  <c r="Q19" i="5"/>
  <c r="P19" i="5"/>
  <c r="O19" i="5"/>
  <c r="R18" i="5"/>
  <c r="Q18" i="5"/>
  <c r="P18" i="5"/>
  <c r="O18" i="5"/>
  <c r="N18" i="5"/>
  <c r="M18" i="5"/>
  <c r="L18" i="5"/>
  <c r="D18" i="5"/>
  <c r="N17" i="5"/>
  <c r="M17" i="5"/>
  <c r="L17" i="5"/>
  <c r="R14" i="5"/>
  <c r="Q14" i="5"/>
  <c r="P14" i="5"/>
  <c r="O14" i="5"/>
  <c r="R11" i="5"/>
  <c r="Q11" i="5"/>
  <c r="P11" i="5"/>
  <c r="O11" i="5"/>
  <c r="N11" i="5"/>
  <c r="M11" i="5"/>
  <c r="L11" i="5"/>
  <c r="J6" i="5"/>
  <c r="K5" i="5" s="1"/>
  <c r="K6" i="5" s="1"/>
  <c r="L5" i="5" s="1"/>
  <c r="L6" i="5" s="1"/>
  <c r="M5" i="5" s="1"/>
  <c r="M6" i="5" s="1"/>
  <c r="N5" i="5" s="1"/>
  <c r="N6" i="5" s="1"/>
  <c r="O5" i="5" s="1"/>
  <c r="O6" i="5" s="1"/>
  <c r="P5" i="5" s="1"/>
  <c r="P6" i="5" s="1"/>
  <c r="Q5" i="5" s="1"/>
  <c r="Q6" i="5" s="1"/>
  <c r="R5" i="5" s="1"/>
  <c r="R6" i="5" s="1"/>
  <c r="D6" i="5" a="1"/>
  <c r="D6" i="5"/>
  <c r="B2" i="5"/>
  <c r="O133" i="4"/>
  <c r="O62" i="7" s="1"/>
  <c r="E133" i="4"/>
  <c r="P132" i="4"/>
  <c r="P63" i="7" s="1"/>
  <c r="P38" i="10" s="1"/>
  <c r="O132" i="4"/>
  <c r="O63" i="7" s="1"/>
  <c r="O38" i="10" s="1"/>
  <c r="E132" i="4"/>
  <c r="E131" i="4"/>
  <c r="P130" i="4"/>
  <c r="Q130" i="4" s="1"/>
  <c r="O130" i="4"/>
  <c r="E130" i="4"/>
  <c r="O129" i="4"/>
  <c r="E129" i="4"/>
  <c r="E128" i="4"/>
  <c r="E127" i="4"/>
  <c r="E124" i="4"/>
  <c r="N123" i="4"/>
  <c r="M123" i="4"/>
  <c r="L123" i="4"/>
  <c r="E123" i="4"/>
  <c r="N122" i="4"/>
  <c r="N124" i="4" s="1"/>
  <c r="N21" i="9" s="1"/>
  <c r="M122" i="4"/>
  <c r="M124" i="4" s="1"/>
  <c r="M21" i="9" s="1"/>
  <c r="L122" i="4"/>
  <c r="L124" i="4" s="1"/>
  <c r="L21" i="9" s="1"/>
  <c r="L48" i="5" s="1"/>
  <c r="E122" i="4"/>
  <c r="E119" i="4"/>
  <c r="N118" i="4"/>
  <c r="N48" i="9" s="1"/>
  <c r="L118" i="4"/>
  <c r="L48" i="9" s="1"/>
  <c r="E118" i="4"/>
  <c r="E117" i="4"/>
  <c r="N115" i="4"/>
  <c r="M115" i="4"/>
  <c r="L115" i="4"/>
  <c r="E115" i="4"/>
  <c r="E112" i="4"/>
  <c r="N111" i="4"/>
  <c r="M111" i="4"/>
  <c r="L111" i="4"/>
  <c r="E111" i="4"/>
  <c r="N110" i="4"/>
  <c r="N112" i="4" s="1"/>
  <c r="N44" i="9" s="1"/>
  <c r="M110" i="4"/>
  <c r="M112" i="4" s="1"/>
  <c r="M44" i="9" s="1"/>
  <c r="M70" i="5" s="1"/>
  <c r="L110" i="4"/>
  <c r="L112" i="4" s="1"/>
  <c r="L44" i="9" s="1"/>
  <c r="L70" i="5" s="1"/>
  <c r="E110" i="4"/>
  <c r="K107" i="4"/>
  <c r="K42" i="9" s="1"/>
  <c r="L66" i="5" s="1"/>
  <c r="E107" i="4"/>
  <c r="N106" i="4"/>
  <c r="M106" i="4"/>
  <c r="L106" i="4"/>
  <c r="K106" i="4"/>
  <c r="E106" i="4"/>
  <c r="N105" i="4"/>
  <c r="N107" i="4" s="1"/>
  <c r="N42" i="9" s="1"/>
  <c r="M105" i="4"/>
  <c r="M107" i="4" s="1"/>
  <c r="M42" i="9" s="1"/>
  <c r="L105" i="4"/>
  <c r="L107" i="4" s="1"/>
  <c r="L42" i="9" s="1"/>
  <c r="K105" i="4"/>
  <c r="E105" i="4"/>
  <c r="E102" i="4"/>
  <c r="E101" i="4"/>
  <c r="N100" i="4"/>
  <c r="M100" i="4"/>
  <c r="L100" i="4"/>
  <c r="E100" i="4"/>
  <c r="N98" i="4"/>
  <c r="M98" i="4"/>
  <c r="L98" i="4"/>
  <c r="E98" i="4"/>
  <c r="N94" i="4"/>
  <c r="M94" i="4"/>
  <c r="L94" i="4"/>
  <c r="E94" i="4"/>
  <c r="E93" i="4"/>
  <c r="E92" i="4"/>
  <c r="E91" i="4"/>
  <c r="M88" i="4"/>
  <c r="M18" i="8" s="1"/>
  <c r="M19" i="5" s="1"/>
  <c r="E88" i="4"/>
  <c r="E87" i="4"/>
  <c r="N86" i="4"/>
  <c r="M86" i="4"/>
  <c r="L86" i="4"/>
  <c r="E86" i="4"/>
  <c r="N85" i="4"/>
  <c r="N88" i="4" s="1"/>
  <c r="N18" i="8" s="1"/>
  <c r="N19" i="5" s="1"/>
  <c r="M85" i="4"/>
  <c r="L85" i="4"/>
  <c r="L88" i="4" s="1"/>
  <c r="L18" i="8" s="1"/>
  <c r="L19" i="5" s="1"/>
  <c r="E85" i="4"/>
  <c r="N82" i="4"/>
  <c r="N14" i="8" s="1"/>
  <c r="E82" i="4"/>
  <c r="E81" i="4"/>
  <c r="E80" i="4"/>
  <c r="N78" i="4"/>
  <c r="M78" i="4"/>
  <c r="M82" i="4" s="1"/>
  <c r="M14" i="8" s="1"/>
  <c r="L78" i="4"/>
  <c r="L82" i="4" s="1"/>
  <c r="L14" i="8" s="1"/>
  <c r="E78" i="4"/>
  <c r="N69" i="4"/>
  <c r="N71" i="4" s="1"/>
  <c r="N68" i="4"/>
  <c r="M68" i="4"/>
  <c r="L68" i="4"/>
  <c r="N59" i="4"/>
  <c r="M59" i="4"/>
  <c r="M69" i="4" s="1"/>
  <c r="M71" i="4" s="1"/>
  <c r="L59" i="4"/>
  <c r="L69" i="4" s="1"/>
  <c r="L71" i="4" s="1"/>
  <c r="N51" i="4"/>
  <c r="M51" i="4"/>
  <c r="L51" i="4"/>
  <c r="N44" i="4"/>
  <c r="N43" i="4"/>
  <c r="M43" i="4"/>
  <c r="M44" i="4" s="1"/>
  <c r="M73" i="4" s="1"/>
  <c r="L43" i="4"/>
  <c r="N36" i="4"/>
  <c r="M36" i="4"/>
  <c r="L36" i="4"/>
  <c r="L44" i="4" s="1"/>
  <c r="L73" i="4" s="1"/>
  <c r="E35" i="4"/>
  <c r="E34" i="4"/>
  <c r="E33" i="4"/>
  <c r="E32" i="4"/>
  <c r="E31" i="4"/>
  <c r="E30" i="4"/>
  <c r="E24" i="4"/>
  <c r="E23" i="4"/>
  <c r="N22" i="4"/>
  <c r="N24" i="4" s="1"/>
  <c r="E22" i="4"/>
  <c r="E21" i="4"/>
  <c r="E20" i="4"/>
  <c r="N19" i="4"/>
  <c r="L19" i="4"/>
  <c r="L22" i="4" s="1"/>
  <c r="L24" i="4" s="1"/>
  <c r="E19" i="4"/>
  <c r="E18" i="4"/>
  <c r="E17" i="4"/>
  <c r="E16" i="4"/>
  <c r="E15" i="4"/>
  <c r="E14" i="4"/>
  <c r="N13" i="4"/>
  <c r="M13" i="4"/>
  <c r="M19" i="4" s="1"/>
  <c r="M22" i="4" s="1"/>
  <c r="M24" i="4" s="1"/>
  <c r="L13" i="4"/>
  <c r="E13" i="4"/>
  <c r="E12" i="4"/>
  <c r="E11" i="4"/>
  <c r="K6" i="4"/>
  <c r="L5" i="4" s="1"/>
  <c r="L6" i="4" s="1"/>
  <c r="M5" i="4" s="1"/>
  <c r="M6" i="4" s="1"/>
  <c r="N5" i="4" s="1"/>
  <c r="N6" i="4" s="1"/>
  <c r="O5" i="4" s="1"/>
  <c r="O6" i="4" s="1"/>
  <c r="P5" i="4" s="1"/>
  <c r="P6" i="4" s="1"/>
  <c r="Q5" i="4" s="1"/>
  <c r="Q6" i="4" s="1"/>
  <c r="R5" i="4" s="1"/>
  <c r="R6" i="4" s="1"/>
  <c r="J6" i="4"/>
  <c r="D6" i="4" a="1"/>
  <c r="D6" i="4" s="1"/>
  <c r="K5" i="4"/>
  <c r="B2" i="4"/>
  <c r="H34" i="3"/>
  <c r="G34" i="3"/>
  <c r="F34" i="3"/>
  <c r="D34" i="3"/>
  <c r="D33" i="3"/>
  <c r="D32" i="3"/>
  <c r="D31" i="3"/>
  <c r="D30" i="3"/>
  <c r="D29" i="3"/>
  <c r="D28" i="3"/>
  <c r="D24" i="3"/>
  <c r="H23" i="3"/>
  <c r="G23" i="3"/>
  <c r="F23" i="3"/>
  <c r="D23" i="3"/>
  <c r="D22" i="3"/>
  <c r="D21" i="3"/>
  <c r="D20" i="3"/>
  <c r="D19" i="3"/>
  <c r="H18" i="3"/>
  <c r="D18" i="3"/>
  <c r="H17" i="3"/>
  <c r="G17" i="3"/>
  <c r="F17" i="3"/>
  <c r="D17" i="3"/>
  <c r="D6" i="3" a="1"/>
  <c r="D6" i="3" s="1"/>
  <c r="B2" i="3"/>
  <c r="E18" i="2"/>
  <c r="E16" i="2"/>
  <c r="B2" i="2"/>
  <c r="N46" i="9" l="1"/>
  <c r="H31" i="3" s="1"/>
  <c r="N58" i="7"/>
  <c r="O55" i="7" s="1"/>
  <c r="M23" i="9"/>
  <c r="M48" i="5"/>
  <c r="O93" i="7"/>
  <c r="O94" i="7" s="1"/>
  <c r="P49" i="5"/>
  <c r="N104" i="7"/>
  <c r="O102" i="7" s="1"/>
  <c r="N70" i="5"/>
  <c r="O70" i="5" s="1"/>
  <c r="N89" i="7"/>
  <c r="O87" i="7" s="1"/>
  <c r="N48" i="5"/>
  <c r="O48" i="5" s="1"/>
  <c r="Q56" i="7"/>
  <c r="Q35" i="10" s="1"/>
  <c r="Q64" i="5"/>
  <c r="R130" i="4"/>
  <c r="O83" i="7"/>
  <c r="O84" i="7" s="1"/>
  <c r="P47" i="5"/>
  <c r="M46" i="9"/>
  <c r="G31" i="3" s="1"/>
  <c r="N66" i="5"/>
  <c r="N30" i="5"/>
  <c r="O30" i="5" s="1"/>
  <c r="N73" i="4"/>
  <c r="L55" i="5"/>
  <c r="F18" i="3"/>
  <c r="L14" i="5"/>
  <c r="M55" i="5"/>
  <c r="M14" i="5"/>
  <c r="G18" i="3"/>
  <c r="L46" i="9"/>
  <c r="F31" i="3" s="1"/>
  <c r="M66" i="5"/>
  <c r="M30" i="5"/>
  <c r="M101" i="4"/>
  <c r="M26" i="9" s="1"/>
  <c r="M53" i="5" s="1"/>
  <c r="M118" i="4"/>
  <c r="M48" i="9" s="1"/>
  <c r="P58" i="5"/>
  <c r="O68" i="7"/>
  <c r="O32" i="10" s="1"/>
  <c r="P59" i="5"/>
  <c r="O73" i="7"/>
  <c r="Q98" i="7"/>
  <c r="R69" i="5"/>
  <c r="R98" i="7" s="1"/>
  <c r="N15" i="8"/>
  <c r="N15" i="7"/>
  <c r="N55" i="5"/>
  <c r="N101" i="4"/>
  <c r="N26" i="9" s="1"/>
  <c r="N115" i="7"/>
  <c r="N79" i="5"/>
  <c r="N119" i="4"/>
  <c r="N49" i="9" s="1"/>
  <c r="N53" i="9" s="1"/>
  <c r="O57" i="7"/>
  <c r="O37" i="10" s="1"/>
  <c r="O65" i="5"/>
  <c r="O36" i="10"/>
  <c r="O64" i="7"/>
  <c r="L30" i="5"/>
  <c r="O37" i="9"/>
  <c r="P77" i="7"/>
  <c r="P119" i="7"/>
  <c r="P52" i="9" s="1"/>
  <c r="Q82" i="5"/>
  <c r="P129" i="4"/>
  <c r="O56" i="7"/>
  <c r="O35" i="10" s="1"/>
  <c r="O64" i="5"/>
  <c r="Q132" i="4"/>
  <c r="Q63" i="7" s="1"/>
  <c r="Q38" i="10" s="1"/>
  <c r="P133" i="4"/>
  <c r="P62" i="7" s="1"/>
  <c r="P36" i="10" s="1"/>
  <c r="P71" i="5"/>
  <c r="P118" i="7" s="1"/>
  <c r="O12" i="7"/>
  <c r="L101" i="4"/>
  <c r="L26" i="9" s="1"/>
  <c r="L53" i="5" s="1"/>
  <c r="L53" i="9"/>
  <c r="L79" i="5"/>
  <c r="L119" i="4"/>
  <c r="L49" i="9" s="1"/>
  <c r="L80" i="5" s="1"/>
  <c r="P56" i="7"/>
  <c r="P35" i="10" s="1"/>
  <c r="P64" i="5"/>
  <c r="R132" i="4"/>
  <c r="R63" i="7" s="1"/>
  <c r="R38" i="10" s="1"/>
  <c r="N14" i="5"/>
  <c r="O118" i="7"/>
  <c r="O69" i="7"/>
  <c r="D6" i="10" a="1"/>
  <c r="D6" i="10" s="1"/>
  <c r="D6" i="11" a="1"/>
  <c r="D6" i="11" s="1"/>
  <c r="D6" i="9" a="1"/>
  <c r="D6" i="9" s="1"/>
  <c r="O99" i="7"/>
  <c r="O119" i="7"/>
  <c r="O52" i="9" s="1"/>
  <c r="Q71" i="5"/>
  <c r="Q118" i="7" s="1"/>
  <c r="D6" i="7" a="1"/>
  <c r="D6" i="7" s="1"/>
  <c r="O39" i="7"/>
  <c r="O44" i="7"/>
  <c r="O28" i="10" s="1"/>
  <c r="P61" i="5"/>
  <c r="P98" i="7"/>
  <c r="D6" i="8" a="1"/>
  <c r="D6" i="8" s="1"/>
  <c r="M24" i="11"/>
  <c r="M20" i="11"/>
  <c r="O32" i="7"/>
  <c r="O26" i="10" s="1"/>
  <c r="L12" i="11"/>
  <c r="L31" i="11"/>
  <c r="L23" i="9"/>
  <c r="M31" i="11"/>
  <c r="M12" i="11"/>
  <c r="M15" i="8"/>
  <c r="L15" i="8"/>
  <c r="N23" i="9"/>
  <c r="N24" i="11"/>
  <c r="N20" i="11"/>
  <c r="L24" i="11"/>
  <c r="L20" i="11"/>
  <c r="N31" i="11"/>
  <c r="N12" i="11"/>
  <c r="N54" i="9" l="1"/>
  <c r="H32" i="3"/>
  <c r="H28" i="3"/>
  <c r="O21" i="8"/>
  <c r="O14" i="10" s="1"/>
  <c r="O38" i="7"/>
  <c r="R71" i="5"/>
  <c r="R118" i="7" s="1"/>
  <c r="O108" i="7"/>
  <c r="O109" i="7"/>
  <c r="O26" i="9" s="1"/>
  <c r="O13" i="8"/>
  <c r="O15" i="7"/>
  <c r="O20" i="7"/>
  <c r="O18" i="8" s="1"/>
  <c r="P12" i="7"/>
  <c r="O19" i="7"/>
  <c r="O17" i="8" s="1"/>
  <c r="O18" i="7"/>
  <c r="O16" i="8" s="1"/>
  <c r="O33" i="10"/>
  <c r="O74" i="7"/>
  <c r="O27" i="7"/>
  <c r="O27" i="8" s="1"/>
  <c r="O21" i="10" s="1"/>
  <c r="P30" i="5"/>
  <c r="O20" i="9"/>
  <c r="P82" i="7"/>
  <c r="O88" i="7"/>
  <c r="O89" i="7" s="1"/>
  <c r="P48" i="5"/>
  <c r="G28" i="3"/>
  <c r="P78" i="7"/>
  <c r="Q61" i="5"/>
  <c r="O43" i="9"/>
  <c r="P97" i="7"/>
  <c r="P99" i="7" s="1"/>
  <c r="O34" i="9"/>
  <c r="P67" i="7"/>
  <c r="O45" i="9"/>
  <c r="P45" i="9"/>
  <c r="Q119" i="7"/>
  <c r="Q52" i="9" s="1"/>
  <c r="R82" i="5"/>
  <c r="R119" i="7" s="1"/>
  <c r="R52" i="9" s="1"/>
  <c r="N13" i="11"/>
  <c r="N19" i="8"/>
  <c r="H19" i="3"/>
  <c r="P73" i="7"/>
  <c r="P33" i="10" s="1"/>
  <c r="Q59" i="5"/>
  <c r="M79" i="5"/>
  <c r="R56" i="7"/>
  <c r="R35" i="10" s="1"/>
  <c r="R64" i="5"/>
  <c r="P93" i="7"/>
  <c r="Q49" i="5"/>
  <c r="O58" i="7"/>
  <c r="L13" i="11"/>
  <c r="L19" i="8"/>
  <c r="F19" i="3"/>
  <c r="Q45" i="9"/>
  <c r="O46" i="7"/>
  <c r="L54" i="9"/>
  <c r="F32" i="3"/>
  <c r="P57" i="7"/>
  <c r="P37" i="10" s="1"/>
  <c r="P65" i="5"/>
  <c r="O51" i="9"/>
  <c r="P61" i="7"/>
  <c r="P64" i="7" s="1"/>
  <c r="N116" i="7"/>
  <c r="N120" i="7" s="1"/>
  <c r="N80" i="5"/>
  <c r="O80" i="5" s="1"/>
  <c r="N109" i="7"/>
  <c r="N53" i="5"/>
  <c r="N102" i="4"/>
  <c r="N27" i="9" s="1"/>
  <c r="O22" i="9"/>
  <c r="P92" i="7"/>
  <c r="M13" i="11"/>
  <c r="M19" i="8"/>
  <c r="G19" i="3"/>
  <c r="F28" i="3"/>
  <c r="O34" i="7"/>
  <c r="Q133" i="4"/>
  <c r="Q62" i="7" s="1"/>
  <c r="Q36" i="10" s="1"/>
  <c r="Q129" i="4"/>
  <c r="R129" i="4" s="1"/>
  <c r="P79" i="7"/>
  <c r="P68" i="7"/>
  <c r="P32" i="10" s="1"/>
  <c r="Q58" i="5"/>
  <c r="L102" i="4"/>
  <c r="L27" i="9" s="1"/>
  <c r="M119" i="4"/>
  <c r="M49" i="9" s="1"/>
  <c r="M80" i="5" s="1"/>
  <c r="P83" i="7"/>
  <c r="Q47" i="5"/>
  <c r="O103" i="7"/>
  <c r="O104" i="7" s="1"/>
  <c r="P70" i="5"/>
  <c r="M102" i="4"/>
  <c r="M27" i="9" s="1"/>
  <c r="O44" i="9" l="1"/>
  <c r="P102" i="7"/>
  <c r="R57" i="7"/>
  <c r="R37" i="10" s="1"/>
  <c r="R65" i="5"/>
  <c r="O21" i="9"/>
  <c r="P87" i="7"/>
  <c r="P103" i="7"/>
  <c r="Q70" i="5"/>
  <c r="P37" i="9"/>
  <c r="Q77" i="7"/>
  <c r="M54" i="5"/>
  <c r="M30" i="9"/>
  <c r="O17" i="9"/>
  <c r="P31" i="7"/>
  <c r="P33" i="7"/>
  <c r="F33" i="3"/>
  <c r="L37" i="11"/>
  <c r="L56" i="9"/>
  <c r="Q93" i="7"/>
  <c r="R49" i="5"/>
  <c r="R93" i="7" s="1"/>
  <c r="P43" i="9"/>
  <c r="Q97" i="7"/>
  <c r="Q99" i="7" s="1"/>
  <c r="P88" i="7"/>
  <c r="Q48" i="5"/>
  <c r="Q30" i="5"/>
  <c r="P109" i="7"/>
  <c r="P26" i="9" s="1"/>
  <c r="P13" i="8"/>
  <c r="P20" i="7"/>
  <c r="P18" i="8" s="1"/>
  <c r="Q12" i="7"/>
  <c r="P108" i="7"/>
  <c r="P19" i="7"/>
  <c r="P17" i="8" s="1"/>
  <c r="P18" i="7"/>
  <c r="P16" i="8" s="1"/>
  <c r="P15" i="7"/>
  <c r="N110" i="7"/>
  <c r="N112" i="7" s="1"/>
  <c r="N121" i="7" s="1"/>
  <c r="N54" i="5"/>
  <c r="O54" i="5" s="1"/>
  <c r="N30" i="9"/>
  <c r="L14" i="11"/>
  <c r="L23" i="8"/>
  <c r="F20" i="3"/>
  <c r="O25" i="9"/>
  <c r="M14" i="11"/>
  <c r="M23" i="8"/>
  <c r="G20" i="3"/>
  <c r="O116" i="7"/>
  <c r="O49" i="9" s="1"/>
  <c r="P80" i="5"/>
  <c r="L54" i="5"/>
  <c r="L30" i="9"/>
  <c r="Q57" i="7"/>
  <c r="Q37" i="10" s="1"/>
  <c r="Q65" i="5"/>
  <c r="M53" i="9"/>
  <c r="N14" i="11"/>
  <c r="N23" i="8"/>
  <c r="H20" i="3"/>
  <c r="P69" i="7"/>
  <c r="Q78" i="7"/>
  <c r="R61" i="5"/>
  <c r="R78" i="7" s="1"/>
  <c r="P84" i="7"/>
  <c r="R133" i="4"/>
  <c r="R62" i="7" s="1"/>
  <c r="R36" i="10" s="1"/>
  <c r="O14" i="8"/>
  <c r="I18" i="3" s="1"/>
  <c r="O111" i="7"/>
  <c r="O28" i="9" s="1"/>
  <c r="O115" i="7"/>
  <c r="R45" i="9"/>
  <c r="P45" i="7"/>
  <c r="P43" i="7"/>
  <c r="O19" i="9"/>
  <c r="Q83" i="7"/>
  <c r="R47" i="5"/>
  <c r="R83" i="7" s="1"/>
  <c r="Q68" i="7"/>
  <c r="Q32" i="10" s="1"/>
  <c r="R58" i="5"/>
  <c r="R68" i="7" s="1"/>
  <c r="R32" i="10" s="1"/>
  <c r="P94" i="7"/>
  <c r="P51" i="9"/>
  <c r="Q61" i="7"/>
  <c r="Q64" i="7" s="1"/>
  <c r="O42" i="9"/>
  <c r="O46" i="9" s="1"/>
  <c r="I31" i="3" s="1"/>
  <c r="P55" i="7"/>
  <c r="P58" i="7" s="1"/>
  <c r="Q73" i="7"/>
  <c r="Q33" i="10" s="1"/>
  <c r="R59" i="5"/>
  <c r="R73" i="7" s="1"/>
  <c r="R33" i="10" s="1"/>
  <c r="O35" i="9"/>
  <c r="P72" i="7"/>
  <c r="P74" i="7" s="1"/>
  <c r="O31" i="11"/>
  <c r="O12" i="11"/>
  <c r="O15" i="8"/>
  <c r="I17" i="3"/>
  <c r="O27" i="10"/>
  <c r="O29" i="10" s="1"/>
  <c r="O40" i="7"/>
  <c r="H33" i="3"/>
  <c r="N56" i="9"/>
  <c r="N37" i="11"/>
  <c r="Q51" i="9" l="1"/>
  <c r="R61" i="7"/>
  <c r="R64" i="7" s="1"/>
  <c r="R51" i="9" s="1"/>
  <c r="P35" i="9"/>
  <c r="Q72" i="7"/>
  <c r="Q74" i="7" s="1"/>
  <c r="P22" i="8"/>
  <c r="P15" i="10" s="1"/>
  <c r="P44" i="7"/>
  <c r="P28" i="10" s="1"/>
  <c r="N35" i="11"/>
  <c r="N28" i="8"/>
  <c r="H21" i="3"/>
  <c r="P14" i="8"/>
  <c r="J18" i="3" s="1"/>
  <c r="P111" i="7"/>
  <c r="P28" i="9" s="1"/>
  <c r="P115" i="7"/>
  <c r="Q109" i="7"/>
  <c r="Q26" i="9" s="1"/>
  <c r="Q13" i="8"/>
  <c r="Q108" i="7"/>
  <c r="Q19" i="7"/>
  <c r="Q17" i="8" s="1"/>
  <c r="Q18" i="7"/>
  <c r="Q16" i="8" s="1"/>
  <c r="Q15" i="7"/>
  <c r="Q20" i="7"/>
  <c r="Q18" i="8" s="1"/>
  <c r="R12" i="7"/>
  <c r="R30" i="5"/>
  <c r="R97" i="7"/>
  <c r="R99" i="7" s="1"/>
  <c r="R43" i="9" s="1"/>
  <c r="Q43" i="9"/>
  <c r="P20" i="8"/>
  <c r="P13" i="10" s="1"/>
  <c r="P32" i="7"/>
  <c r="P26" i="10" s="1"/>
  <c r="M36" i="11"/>
  <c r="G29" i="3"/>
  <c r="M31" i="9"/>
  <c r="Q103" i="7"/>
  <c r="R70" i="5"/>
  <c r="R103" i="7" s="1"/>
  <c r="P42" i="9"/>
  <c r="Q55" i="7"/>
  <c r="Q58" i="7" s="1"/>
  <c r="L36" i="11"/>
  <c r="F29" i="3"/>
  <c r="L31" i="9"/>
  <c r="N36" i="11"/>
  <c r="H29" i="3"/>
  <c r="N31" i="9"/>
  <c r="O13" i="11"/>
  <c r="O19" i="8"/>
  <c r="I19" i="3"/>
  <c r="P22" i="9"/>
  <c r="Q92" i="7"/>
  <c r="Q94" i="7" s="1"/>
  <c r="O18" i="9"/>
  <c r="P39" i="7"/>
  <c r="P37" i="7"/>
  <c r="P34" i="9"/>
  <c r="Q67" i="7"/>
  <c r="Q69" i="7" s="1"/>
  <c r="M54" i="9"/>
  <c r="G32" i="3"/>
  <c r="M35" i="11"/>
  <c r="M28" i="8"/>
  <c r="G21" i="3"/>
  <c r="O110" i="7"/>
  <c r="P54" i="5"/>
  <c r="P12" i="11"/>
  <c r="P31" i="11"/>
  <c r="P15" i="8"/>
  <c r="J17" i="3"/>
  <c r="Q88" i="7"/>
  <c r="R48" i="5"/>
  <c r="R88" i="7" s="1"/>
  <c r="O23" i="9"/>
  <c r="Q79" i="7"/>
  <c r="P89" i="7"/>
  <c r="P104" i="7"/>
  <c r="P46" i="7"/>
  <c r="O48" i="9"/>
  <c r="O120" i="7"/>
  <c r="P20" i="9"/>
  <c r="Q82" i="7"/>
  <c r="Q84" i="7" s="1"/>
  <c r="P116" i="7"/>
  <c r="P49" i="9" s="1"/>
  <c r="Q80" i="5"/>
  <c r="L35" i="11"/>
  <c r="L28" i="8"/>
  <c r="F21" i="3"/>
  <c r="P25" i="9"/>
  <c r="G33" i="3" l="1"/>
  <c r="M56" i="9"/>
  <c r="M37" i="11"/>
  <c r="Q22" i="9"/>
  <c r="R92" i="7"/>
  <c r="R94" i="7" s="1"/>
  <c r="R22" i="9" s="1"/>
  <c r="Q14" i="8"/>
  <c r="K18" i="3" s="1"/>
  <c r="Q111" i="7"/>
  <c r="Q28" i="9" s="1"/>
  <c r="Q115" i="7"/>
  <c r="Q31" i="11"/>
  <c r="Q12" i="11"/>
  <c r="Q15" i="8"/>
  <c r="K17" i="3"/>
  <c r="P44" i="9"/>
  <c r="Q102" i="7"/>
  <c r="Q104" i="7" s="1"/>
  <c r="L30" i="8"/>
  <c r="L31" i="5"/>
  <c r="F22" i="3"/>
  <c r="Q20" i="9"/>
  <c r="R82" i="7"/>
  <c r="R84" i="7" s="1"/>
  <c r="R20" i="9" s="1"/>
  <c r="P19" i="9"/>
  <c r="Q43" i="7"/>
  <c r="Q45" i="7"/>
  <c r="P21" i="9"/>
  <c r="Q87" i="7"/>
  <c r="Q89" i="7" s="1"/>
  <c r="M30" i="8"/>
  <c r="M31" i="5"/>
  <c r="G22" i="3"/>
  <c r="Q34" i="9"/>
  <c r="R67" i="7"/>
  <c r="R69" i="7" s="1"/>
  <c r="R34" i="9" s="1"/>
  <c r="P34" i="7"/>
  <c r="Q42" i="9"/>
  <c r="R55" i="7"/>
  <c r="R58" i="7" s="1"/>
  <c r="R42" i="9" s="1"/>
  <c r="M32" i="11"/>
  <c r="M30" i="11" s="1"/>
  <c r="M28" i="11"/>
  <c r="M12" i="9"/>
  <c r="M58" i="9"/>
  <c r="G30" i="3"/>
  <c r="Q37" i="9"/>
  <c r="R77" i="7"/>
  <c r="R79" i="7" s="1"/>
  <c r="R37" i="9" s="1"/>
  <c r="P38" i="7"/>
  <c r="P27" i="10" s="1"/>
  <c r="P29" i="10" s="1"/>
  <c r="P21" i="8"/>
  <c r="P14" i="10" s="1"/>
  <c r="N32" i="11"/>
  <c r="N30" i="11" s="1"/>
  <c r="N28" i="11"/>
  <c r="N58" i="9"/>
  <c r="N12" i="9"/>
  <c r="H30" i="3"/>
  <c r="P46" i="9"/>
  <c r="J31" i="3" s="1"/>
  <c r="R13" i="8"/>
  <c r="R108" i="7"/>
  <c r="R18" i="7"/>
  <c r="R16" i="8" s="1"/>
  <c r="R15" i="7"/>
  <c r="R109" i="7"/>
  <c r="R26" i="9" s="1"/>
  <c r="R20" i="7"/>
  <c r="R18" i="8" s="1"/>
  <c r="R19" i="7"/>
  <c r="R17" i="8" s="1"/>
  <c r="P48" i="9"/>
  <c r="P120" i="7"/>
  <c r="N30" i="8"/>
  <c r="N31" i="5"/>
  <c r="H22" i="3"/>
  <c r="Q35" i="9"/>
  <c r="R72" i="7"/>
  <c r="R74" i="7" s="1"/>
  <c r="R35" i="9" s="1"/>
  <c r="P110" i="7"/>
  <c r="Q54" i="5"/>
  <c r="L28" i="11"/>
  <c r="L58" i="9"/>
  <c r="L32" i="11"/>
  <c r="L30" i="11" s="1"/>
  <c r="L12" i="9"/>
  <c r="F30" i="3"/>
  <c r="Q116" i="7"/>
  <c r="Q49" i="9" s="1"/>
  <c r="R80" i="5"/>
  <c r="R116" i="7" s="1"/>
  <c r="R49" i="9" s="1"/>
  <c r="I28" i="3"/>
  <c r="P13" i="11"/>
  <c r="P19" i="8"/>
  <c r="J19" i="3"/>
  <c r="O27" i="9"/>
  <c r="O112" i="7"/>
  <c r="O121" i="7" s="1"/>
  <c r="O14" i="11"/>
  <c r="O23" i="8"/>
  <c r="I20" i="3"/>
  <c r="Q25" i="9"/>
  <c r="P14" i="11" l="1"/>
  <c r="P23" i="8"/>
  <c r="J20" i="3"/>
  <c r="Q110" i="7"/>
  <c r="R54" i="5"/>
  <c r="R110" i="7" s="1"/>
  <c r="R27" i="9" s="1"/>
  <c r="R115" i="7"/>
  <c r="R14" i="8"/>
  <c r="L18" i="3" s="1"/>
  <c r="R111" i="7"/>
  <c r="R28" i="9" s="1"/>
  <c r="P27" i="9"/>
  <c r="P112" i="7"/>
  <c r="P121" i="7" s="1"/>
  <c r="P17" i="9"/>
  <c r="Q33" i="7"/>
  <c r="Q31" i="7"/>
  <c r="L27" i="11"/>
  <c r="L26" i="11" s="1"/>
  <c r="L23" i="11"/>
  <c r="L22" i="11" s="1"/>
  <c r="L19" i="11"/>
  <c r="L18" i="11" s="1"/>
  <c r="L15" i="11"/>
  <c r="L60" i="5"/>
  <c r="L11" i="8"/>
  <c r="F24" i="3"/>
  <c r="Q48" i="9"/>
  <c r="Q120" i="7"/>
  <c r="N27" i="11"/>
  <c r="N26" i="11" s="1"/>
  <c r="N23" i="11"/>
  <c r="N22" i="11" s="1"/>
  <c r="N19" i="11"/>
  <c r="N18" i="11" s="1"/>
  <c r="N15" i="11"/>
  <c r="N11" i="8"/>
  <c r="N60" i="5"/>
  <c r="H24" i="3"/>
  <c r="R25" i="9"/>
  <c r="R112" i="7"/>
  <c r="P40" i="7"/>
  <c r="Q44" i="7"/>
  <c r="Q28" i="10" s="1"/>
  <c r="Q22" i="8"/>
  <c r="Q15" i="10" s="1"/>
  <c r="Q13" i="11"/>
  <c r="Q19" i="8"/>
  <c r="K19" i="3"/>
  <c r="R31" i="11"/>
  <c r="R12" i="11"/>
  <c r="R15" i="8"/>
  <c r="L17" i="3"/>
  <c r="M27" i="11"/>
  <c r="M26" i="11" s="1"/>
  <c r="M23" i="11"/>
  <c r="M22" i="11" s="1"/>
  <c r="M19" i="11"/>
  <c r="M18" i="11" s="1"/>
  <c r="M15" i="11"/>
  <c r="M11" i="8"/>
  <c r="M60" i="5"/>
  <c r="G24" i="3"/>
  <c r="Q46" i="7"/>
  <c r="Q44" i="9"/>
  <c r="R102" i="7"/>
  <c r="R104" i="7" s="1"/>
  <c r="R44" i="9" s="1"/>
  <c r="R46" i="9" s="1"/>
  <c r="L31" i="3" s="1"/>
  <c r="G12" i="11"/>
  <c r="O35" i="11"/>
  <c r="O28" i="8"/>
  <c r="O11" i="10"/>
  <c r="O16" i="10" s="1"/>
  <c r="I21" i="3"/>
  <c r="P122" i="7"/>
  <c r="P17" i="10" s="1"/>
  <c r="O122" i="7"/>
  <c r="O17" i="10" s="1"/>
  <c r="Q46" i="9"/>
  <c r="K31" i="3" s="1"/>
  <c r="Q21" i="9"/>
  <c r="R87" i="7"/>
  <c r="R89" i="7" s="1"/>
  <c r="R21" i="9" s="1"/>
  <c r="P11" i="10" l="1"/>
  <c r="P16" i="10" s="1"/>
  <c r="J21" i="3"/>
  <c r="R13" i="11"/>
  <c r="G13" i="11" s="1"/>
  <c r="R19" i="8"/>
  <c r="L19" i="3"/>
  <c r="Q27" i="9"/>
  <c r="Q112" i="7"/>
  <c r="Q121" i="7" s="1"/>
  <c r="O25" i="7"/>
  <c r="O29" i="8" s="1"/>
  <c r="O30" i="8" s="1"/>
  <c r="I22" i="3"/>
  <c r="Q19" i="9"/>
  <c r="R43" i="7"/>
  <c r="R45" i="7"/>
  <c r="Q14" i="11"/>
  <c r="K20" i="3"/>
  <c r="P18" i="9"/>
  <c r="P23" i="9" s="1"/>
  <c r="Q39" i="7"/>
  <c r="Q37" i="7"/>
  <c r="Q20" i="8"/>
  <c r="Q13" i="10" s="1"/>
  <c r="Q32" i="7"/>
  <c r="Q26" i="10" s="1"/>
  <c r="R48" i="9"/>
  <c r="R120" i="7"/>
  <c r="R121" i="7" s="1"/>
  <c r="O27" i="11" l="1"/>
  <c r="O23" i="11"/>
  <c r="O19" i="11"/>
  <c r="O15" i="11"/>
  <c r="O51" i="7"/>
  <c r="O34" i="10" s="1"/>
  <c r="O50" i="7"/>
  <c r="I24" i="3"/>
  <c r="J28" i="3"/>
  <c r="R14" i="11"/>
  <c r="L20" i="3"/>
  <c r="Q34" i="7"/>
  <c r="O22" i="10"/>
  <c r="O23" i="10" s="1"/>
  <c r="I23" i="3"/>
  <c r="Q21" i="8"/>
  <c r="Q14" i="10" s="1"/>
  <c r="Q38" i="7"/>
  <c r="Q27" i="10" s="1"/>
  <c r="Q29" i="10" s="1"/>
  <c r="R122" i="7"/>
  <c r="R17" i="10" s="1"/>
  <c r="Q122" i="7"/>
  <c r="Q17" i="10" s="1"/>
  <c r="G14" i="11"/>
  <c r="R22" i="8"/>
  <c r="R15" i="10" s="1"/>
  <c r="R44" i="7"/>
  <c r="R28" i="10" s="1"/>
  <c r="R33" i="7" l="1"/>
  <c r="Q17" i="9"/>
  <c r="R31" i="7"/>
  <c r="Q23" i="8"/>
  <c r="Q40" i="7"/>
  <c r="O39" i="10"/>
  <c r="O117" i="7" s="1"/>
  <c r="R46" i="7"/>
  <c r="R19" i="9" s="1"/>
  <c r="O52" i="7"/>
  <c r="O50" i="9" l="1"/>
  <c r="O53" i="9" s="1"/>
  <c r="O81" i="5"/>
  <c r="P27" i="7"/>
  <c r="P27" i="8" s="1"/>
  <c r="R20" i="8"/>
  <c r="R32" i="7"/>
  <c r="R26" i="10" s="1"/>
  <c r="Q11" i="10"/>
  <c r="Q16" i="10" s="1"/>
  <c r="K21" i="3"/>
  <c r="O40" i="10"/>
  <c r="O43" i="10" s="1"/>
  <c r="O44" i="10" s="1"/>
  <c r="O36" i="9"/>
  <c r="O38" i="9" s="1"/>
  <c r="P49" i="7"/>
  <c r="R34" i="7"/>
  <c r="R17" i="9" s="1"/>
  <c r="Q18" i="9"/>
  <c r="R37" i="7"/>
  <c r="R39" i="7"/>
  <c r="Q23" i="9"/>
  <c r="P42" i="10" l="1"/>
  <c r="O29" i="9"/>
  <c r="O126" i="7"/>
  <c r="P127" i="7" s="1"/>
  <c r="P26" i="8" s="1"/>
  <c r="R13" i="10"/>
  <c r="O54" i="9"/>
  <c r="I33" i="3" s="1"/>
  <c r="I32" i="3"/>
  <c r="K28" i="3"/>
  <c r="R21" i="8"/>
  <c r="R14" i="10" s="1"/>
  <c r="R38" i="7"/>
  <c r="R27" i="10" s="1"/>
  <c r="R29" i="10" s="1"/>
  <c r="O24" i="11"/>
  <c r="O22" i="11" s="1"/>
  <c r="O20" i="11"/>
  <c r="O18" i="11" s="1"/>
  <c r="O56" i="9"/>
  <c r="I34" i="3"/>
  <c r="P21" i="10"/>
  <c r="P35" i="11"/>
  <c r="O37" i="11" l="1"/>
  <c r="O30" i="9"/>
  <c r="R23" i="8"/>
  <c r="R40" i="7"/>
  <c r="R18" i="9" s="1"/>
  <c r="R23" i="9" s="1"/>
  <c r="P20" i="10"/>
  <c r="P28" i="8"/>
  <c r="L28" i="3" l="1"/>
  <c r="P25" i="7"/>
  <c r="P29" i="8" s="1"/>
  <c r="P30" i="8" s="1"/>
  <c r="J22" i="3"/>
  <c r="R11" i="10"/>
  <c r="R16" i="10" s="1"/>
  <c r="L21" i="3"/>
  <c r="O36" i="11"/>
  <c r="I29" i="3"/>
  <c r="O31" i="9"/>
  <c r="P27" i="11" l="1"/>
  <c r="P23" i="11"/>
  <c r="P19" i="11"/>
  <c r="P15" i="11"/>
  <c r="P50" i="7"/>
  <c r="P51" i="7"/>
  <c r="P34" i="10" s="1"/>
  <c r="J24" i="3"/>
  <c r="O28" i="11"/>
  <c r="O26" i="11" s="1"/>
  <c r="O32" i="11"/>
  <c r="O30" i="11" s="1"/>
  <c r="O58" i="9"/>
  <c r="I30" i="3"/>
  <c r="P22" i="10"/>
  <c r="P23" i="10" s="1"/>
  <c r="J23" i="3"/>
  <c r="O46" i="10" l="1"/>
  <c r="P39" i="10"/>
  <c r="P117" i="7" s="1"/>
  <c r="P52" i="7"/>
  <c r="P36" i="9" l="1"/>
  <c r="P38" i="9" s="1"/>
  <c r="Q49" i="7"/>
  <c r="P40" i="10"/>
  <c r="P43" i="10" s="1"/>
  <c r="P44" i="10" s="1"/>
  <c r="P50" i="9"/>
  <c r="P53" i="9" s="1"/>
  <c r="P81" i="5"/>
  <c r="Q27" i="7"/>
  <c r="Q27" i="8" s="1"/>
  <c r="P54" i="9" l="1"/>
  <c r="J33" i="3" s="1"/>
  <c r="J32" i="3"/>
  <c r="Q21" i="10"/>
  <c r="Q35" i="11"/>
  <c r="P29" i="9"/>
  <c r="Q42" i="10"/>
  <c r="P126" i="7"/>
  <c r="Q127" i="7" s="1"/>
  <c r="Q26" i="8" s="1"/>
  <c r="P24" i="11"/>
  <c r="P22" i="11" s="1"/>
  <c r="P20" i="11"/>
  <c r="P18" i="11" s="1"/>
  <c r="P56" i="9"/>
  <c r="J34" i="3"/>
  <c r="Q20" i="10" l="1"/>
  <c r="Q28" i="8"/>
  <c r="P37" i="11"/>
  <c r="P30" i="9"/>
  <c r="Q25" i="7" l="1"/>
  <c r="Q29" i="8" s="1"/>
  <c r="K22" i="3"/>
  <c r="P36" i="11"/>
  <c r="J29" i="3"/>
  <c r="P31" i="9"/>
  <c r="Q22" i="10" l="1"/>
  <c r="Q23" i="10" s="1"/>
  <c r="K23" i="3"/>
  <c r="P28" i="11"/>
  <c r="P26" i="11" s="1"/>
  <c r="P58" i="9"/>
  <c r="P32" i="11"/>
  <c r="P30" i="11" s="1"/>
  <c r="J30" i="3"/>
  <c r="Q30" i="8"/>
  <c r="Q27" i="11" l="1"/>
  <c r="Q23" i="11"/>
  <c r="Q19" i="11"/>
  <c r="Q15" i="11"/>
  <c r="Q51" i="7"/>
  <c r="Q34" i="10" s="1"/>
  <c r="Q50" i="7"/>
  <c r="Q52" i="7" s="1"/>
  <c r="K24" i="3"/>
  <c r="Q39" i="10"/>
  <c r="Q117" i="7" s="1"/>
  <c r="P46" i="10"/>
  <c r="Q36" i="9" l="1"/>
  <c r="Q38" i="9" s="1"/>
  <c r="R49" i="7"/>
  <c r="Q50" i="9"/>
  <c r="Q53" i="9" s="1"/>
  <c r="Q81" i="5"/>
  <c r="R27" i="7"/>
  <c r="R27" i="8" s="1"/>
  <c r="Q40" i="10"/>
  <c r="Q43" i="10" s="1"/>
  <c r="Q44" i="10" s="1"/>
  <c r="R42" i="10" l="1"/>
  <c r="Q29" i="9"/>
  <c r="Q126" i="7"/>
  <c r="R127" i="7" s="1"/>
  <c r="R26" i="8" s="1"/>
  <c r="Q24" i="11"/>
  <c r="Q22" i="11" s="1"/>
  <c r="Q20" i="11"/>
  <c r="Q18" i="11" s="1"/>
  <c r="K34" i="3"/>
  <c r="R21" i="10"/>
  <c r="R35" i="11"/>
  <c r="G35" i="11" s="1"/>
  <c r="Q54" i="9"/>
  <c r="K33" i="3" s="1"/>
  <c r="K32" i="3"/>
  <c r="Q37" i="11" l="1"/>
  <c r="Q30" i="9"/>
  <c r="Q56" i="9"/>
  <c r="R20" i="10"/>
  <c r="R28" i="8"/>
  <c r="R25" i="7" l="1"/>
  <c r="R29" i="8" s="1"/>
  <c r="L22" i="3"/>
  <c r="Q36" i="11"/>
  <c r="K29" i="3"/>
  <c r="Q31" i="9"/>
  <c r="R22" i="10" l="1"/>
  <c r="R23" i="10" s="1"/>
  <c r="L23" i="3"/>
  <c r="Q32" i="11"/>
  <c r="Q30" i="11" s="1"/>
  <c r="Q28" i="11"/>
  <c r="Q26" i="11" s="1"/>
  <c r="Q58" i="9"/>
  <c r="K30" i="3"/>
  <c r="R30" i="8"/>
  <c r="R27" i="11" l="1"/>
  <c r="R23" i="11"/>
  <c r="R19" i="11"/>
  <c r="R15" i="11"/>
  <c r="G15" i="11" s="1"/>
  <c r="R51" i="7"/>
  <c r="R34" i="10" s="1"/>
  <c r="R50" i="7"/>
  <c r="R52" i="7" s="1"/>
  <c r="R36" i="9" s="1"/>
  <c r="R38" i="9" s="1"/>
  <c r="L24" i="3"/>
  <c r="Q46" i="10"/>
  <c r="R39" i="10"/>
  <c r="R117" i="7" s="1"/>
  <c r="R50" i="9" l="1"/>
  <c r="R53" i="9" s="1"/>
  <c r="R81" i="5"/>
  <c r="R22" i="11"/>
  <c r="G22" i="11" s="1"/>
  <c r="R24" i="11"/>
  <c r="R20" i="11"/>
  <c r="R18" i="11" s="1"/>
  <c r="G18" i="11" s="1"/>
  <c r="L34" i="3"/>
  <c r="R40" i="10"/>
  <c r="R43" i="10" s="1"/>
  <c r="R44" i="10" s="1"/>
  <c r="R29" i="9" l="1"/>
  <c r="R126" i="7"/>
  <c r="R54" i="9"/>
  <c r="L32" i="3"/>
  <c r="L33" i="3" l="1"/>
  <c r="R56" i="9"/>
  <c r="R37" i="11"/>
  <c r="G37" i="11" s="1"/>
  <c r="R30" i="9"/>
  <c r="R36" i="11" l="1"/>
  <c r="G36" i="11" s="1"/>
  <c r="L29" i="3"/>
  <c r="R31" i="9"/>
  <c r="R32" i="11" l="1"/>
  <c r="R30" i="11" s="1"/>
  <c r="G30" i="11" s="1"/>
  <c r="R28" i="11"/>
  <c r="R26" i="11" s="1"/>
  <c r="G26" i="11" s="1"/>
  <c r="R58" i="9"/>
  <c r="L30" i="3"/>
  <c r="F58" i="9" l="1"/>
  <c r="R46" i="10"/>
  <c r="D5" i="10" l="1"/>
  <c r="D5" i="11"/>
  <c r="D5" i="9"/>
  <c r="D5" i="8"/>
  <c r="D5" i="7"/>
  <c r="D5" i="6"/>
  <c r="D5" i="5"/>
  <c r="D5" i="4"/>
  <c r="D5" i="3"/>
</calcChain>
</file>

<file path=xl/comments1.xml><?xml version="1.0" encoding="utf-8"?>
<comments xmlns="http://schemas.openxmlformats.org/spreadsheetml/2006/main">
  <authors>
    <author/>
  </authors>
  <commentList>
    <comment ref="D119" authorId="0" shapeId="0">
      <text>
        <r>
          <rPr>
            <sz val="11"/>
            <color theme="1"/>
            <rFont val="Aptos Narrow"/>
            <scheme val="minor"/>
          </rPr>
          <t xml:space="preserve">other payable+unclaimed dividend
</t>
        </r>
      </text>
    </comment>
  </commentList>
</comments>
</file>

<file path=xl/sharedStrings.xml><?xml version="1.0" encoding="utf-8"?>
<sst xmlns="http://schemas.openxmlformats.org/spreadsheetml/2006/main" count="685" uniqueCount="330">
  <si>
    <t>Model Guide</t>
  </si>
  <si>
    <t>General Information</t>
  </si>
  <si>
    <t>General information</t>
  </si>
  <si>
    <t>Company name</t>
  </si>
  <si>
    <t>Fidson Healthcare Plc</t>
  </si>
  <si>
    <t>Industry</t>
  </si>
  <si>
    <t>FMCG</t>
  </si>
  <si>
    <t>Business Location</t>
  </si>
  <si>
    <t>Nigeria</t>
  </si>
  <si>
    <t>Model information</t>
  </si>
  <si>
    <t>Model first historical year</t>
  </si>
  <si>
    <t>Last historical year</t>
  </si>
  <si>
    <t>Forecast Start Date</t>
  </si>
  <si>
    <t>Forecast Years</t>
  </si>
  <si>
    <t>Forecast End Date</t>
  </si>
  <si>
    <t>Model Currency</t>
  </si>
  <si>
    <t>(₦'000)</t>
  </si>
  <si>
    <t>Circularity Toggle</t>
  </si>
  <si>
    <t>Yes</t>
  </si>
  <si>
    <t>Formatting guide</t>
  </si>
  <si>
    <t>Style</t>
  </si>
  <si>
    <t>Sample</t>
  </si>
  <si>
    <t>Meaning</t>
  </si>
  <si>
    <t>Title</t>
  </si>
  <si>
    <t>Text</t>
  </si>
  <si>
    <t>Shows the title of a sheet or model</t>
  </si>
  <si>
    <t>Heading 1</t>
  </si>
  <si>
    <t>Shows the beginning of a section in the model</t>
  </si>
  <si>
    <t>Heading 2</t>
  </si>
  <si>
    <t>Shows the subsection or calculation block in the model</t>
  </si>
  <si>
    <t>Table Header</t>
  </si>
  <si>
    <t>Table</t>
  </si>
  <si>
    <t>Headers for table in the model</t>
  </si>
  <si>
    <t>Input Cell style</t>
  </si>
  <si>
    <t>Cell contains input that users can alter</t>
  </si>
  <si>
    <t>Normal style</t>
  </si>
  <si>
    <t>Cells contain formulas users should not alter</t>
  </si>
  <si>
    <t>Linked cells</t>
  </si>
  <si>
    <t>Cells whose values are linked from another cell</t>
  </si>
  <si>
    <t>Percentage style</t>
  </si>
  <si>
    <t>Values expressed in percentages</t>
  </si>
  <si>
    <t>Unit/Explanatory style</t>
  </si>
  <si>
    <t>units</t>
  </si>
  <si>
    <t>Provides context to a row of data</t>
  </si>
  <si>
    <t>Executive summary</t>
  </si>
  <si>
    <t>Income Statement Summary</t>
  </si>
  <si>
    <t>Trend</t>
  </si>
  <si>
    <t>2023H</t>
  </si>
  <si>
    <t>2024H</t>
  </si>
  <si>
    <t>2025H</t>
  </si>
  <si>
    <t>2026F</t>
  </si>
  <si>
    <t>2027F</t>
  </si>
  <si>
    <t>2028F</t>
  </si>
  <si>
    <t>2029F</t>
  </si>
  <si>
    <t>Balance Sheet Summary</t>
  </si>
  <si>
    <t>Historical Financial Statement</t>
  </si>
  <si>
    <t>Period start</t>
  </si>
  <si>
    <t>Period end</t>
  </si>
  <si>
    <t>Description</t>
  </si>
  <si>
    <t>Units</t>
  </si>
  <si>
    <t>Inputs</t>
  </si>
  <si>
    <t>Row totals</t>
  </si>
  <si>
    <t>Historical</t>
  </si>
  <si>
    <t>Forecast</t>
  </si>
  <si>
    <t>Income Statement</t>
  </si>
  <si>
    <t xml:space="preserve">Revenue </t>
  </si>
  <si>
    <t>Cost of sales</t>
  </si>
  <si>
    <t>Gross Profit</t>
  </si>
  <si>
    <t>Other gains and losses</t>
  </si>
  <si>
    <t>Administrative expenses</t>
  </si>
  <si>
    <t>Impairment of receivables</t>
  </si>
  <si>
    <t>Net exchange loss</t>
  </si>
  <si>
    <t>Selling and distribution expenses</t>
  </si>
  <si>
    <t>Operating profit</t>
  </si>
  <si>
    <t>Finance cost</t>
  </si>
  <si>
    <t>Finance income</t>
  </si>
  <si>
    <t>Profit before taxation</t>
  </si>
  <si>
    <t>Taxation</t>
  </si>
  <si>
    <t>Profit for the year</t>
  </si>
  <si>
    <t>Balance Sheet</t>
  </si>
  <si>
    <t>Assets</t>
  </si>
  <si>
    <t>Non-Current Assets</t>
  </si>
  <si>
    <t>Property, plant and equipment</t>
  </si>
  <si>
    <t>Right of use assets</t>
  </si>
  <si>
    <t>Intangible Assets</t>
  </si>
  <si>
    <t>Financial assets at FVTOCI</t>
  </si>
  <si>
    <t>Financial assets at amortised cost (non-current)</t>
  </si>
  <si>
    <t>Other Non-Current Financial Asset</t>
  </si>
  <si>
    <t>Total Non-current Assets</t>
  </si>
  <si>
    <t>Current Assets</t>
  </si>
  <si>
    <t>Inventories</t>
  </si>
  <si>
    <t>Financial assets at amortised cost (current)</t>
  </si>
  <si>
    <t>Trade and other receivables</t>
  </si>
  <si>
    <t>Prepayments</t>
  </si>
  <si>
    <t>Cash and cash equivalents</t>
  </si>
  <si>
    <t>Total Current Assets</t>
  </si>
  <si>
    <t>Total Assets</t>
  </si>
  <si>
    <t>Equity</t>
  </si>
  <si>
    <t>Share capital</t>
  </si>
  <si>
    <t>Share premium</t>
  </si>
  <si>
    <t>Retained earnings</t>
  </si>
  <si>
    <t>Financial Asset reserve</t>
  </si>
  <si>
    <t>Total Equity</t>
  </si>
  <si>
    <t>Liabilities</t>
  </si>
  <si>
    <t>Non-Current Liabilities</t>
  </si>
  <si>
    <t>Interest bearing loans and borrowings (non-current)</t>
  </si>
  <si>
    <t>Retirement benefit obligation</t>
  </si>
  <si>
    <t>Government grant</t>
  </si>
  <si>
    <t>Deferred Tax Liability</t>
  </si>
  <si>
    <t>Total Non-current Liabilities</t>
  </si>
  <si>
    <t>Current Liabilities</t>
  </si>
  <si>
    <t>Trade and other payables</t>
  </si>
  <si>
    <t>Interest bearing loans and borrowings (current)</t>
  </si>
  <si>
    <t>Bank Overdraft</t>
  </si>
  <si>
    <t>Other financial liabilities</t>
  </si>
  <si>
    <t>Income tax payable</t>
  </si>
  <si>
    <t>Unclaimed dividend</t>
  </si>
  <si>
    <t>Total current Liabilities</t>
  </si>
  <si>
    <t>Total Liabilities</t>
  </si>
  <si>
    <t>Total Equity and Liabilities</t>
  </si>
  <si>
    <t>Balance Check</t>
  </si>
  <si>
    <t>Restructuring Notes and Extracts</t>
  </si>
  <si>
    <t>Income Statement Restructuring</t>
  </si>
  <si>
    <t>Cost fof Sales</t>
  </si>
  <si>
    <t>Audited Values</t>
  </si>
  <si>
    <t>Less:</t>
  </si>
  <si>
    <t>Depreciation of factory PPE</t>
  </si>
  <si>
    <t>Note 8a</t>
  </si>
  <si>
    <t>Personnel Cost</t>
  </si>
  <si>
    <t>Note 8b</t>
  </si>
  <si>
    <t>Restructured Cost of Sales</t>
  </si>
  <si>
    <t>Add: Personel cost in COGS</t>
  </si>
  <si>
    <t xml:space="preserve">Less: Depreciation </t>
  </si>
  <si>
    <t>Depreciation &amp; Amortization</t>
  </si>
  <si>
    <t>Depreciation of PPE</t>
  </si>
  <si>
    <t>Depreciation in Right of use Asset</t>
  </si>
  <si>
    <t>Amortization of Intangible Assets</t>
  </si>
  <si>
    <t>Total Depreciation</t>
  </si>
  <si>
    <t>Balance sheet Restructuring</t>
  </si>
  <si>
    <t>Trade Receivables</t>
  </si>
  <si>
    <t>Other receivables</t>
  </si>
  <si>
    <t>Note 22</t>
  </si>
  <si>
    <t>Restructured Trade Receivables</t>
  </si>
  <si>
    <t>Restructured Other Receivables</t>
  </si>
  <si>
    <t>Interest bearing loans and borrowings</t>
  </si>
  <si>
    <t>Note 30</t>
  </si>
  <si>
    <t>Add: Non-current portion of borrowing</t>
  </si>
  <si>
    <t>Restructured Borrowings</t>
  </si>
  <si>
    <t>Government Grant</t>
  </si>
  <si>
    <t>Add: Non-current portion</t>
  </si>
  <si>
    <t>Trade and other Payables</t>
  </si>
  <si>
    <t>Note 33</t>
  </si>
  <si>
    <t>Other Payables</t>
  </si>
  <si>
    <t>Trade Payable</t>
  </si>
  <si>
    <t>Financial asset at amortized cost</t>
  </si>
  <si>
    <t>Restructured Financial asset at amortized cost</t>
  </si>
  <si>
    <t>Dividend Declared</t>
  </si>
  <si>
    <t>SOCF</t>
  </si>
  <si>
    <t>Interest on borrowings</t>
  </si>
  <si>
    <t>Note 24</t>
  </si>
  <si>
    <t>Loan repayments</t>
  </si>
  <si>
    <t>Note 24a</t>
  </si>
  <si>
    <t>New Drawdowns</t>
  </si>
  <si>
    <t>Interest on other Financial Liabilities</t>
  </si>
  <si>
    <t>Note 28</t>
  </si>
  <si>
    <t>Repayments on other Financial Liabilities</t>
  </si>
  <si>
    <t>New other Financial Liabilities</t>
  </si>
  <si>
    <t>Inputs and Assumptions</t>
  </si>
  <si>
    <t>P &amp; L Assumptions</t>
  </si>
  <si>
    <t>Revenue</t>
  </si>
  <si>
    <t>Revenue from Contract with Customers</t>
  </si>
  <si>
    <t>%</t>
  </si>
  <si>
    <t>YoY Growth</t>
  </si>
  <si>
    <t>Cost of Sales</t>
  </si>
  <si>
    <t>% of Revenue</t>
  </si>
  <si>
    <t>SGA &amp; Other Losses</t>
  </si>
  <si>
    <t>Other operating (losses)/gains</t>
  </si>
  <si>
    <t>Use of Assets</t>
  </si>
  <si>
    <t>% of Previous PPE</t>
  </si>
  <si>
    <t>% of Previous ROU</t>
  </si>
  <si>
    <t>% of Previous Intangible Assets</t>
  </si>
  <si>
    <t>Other Income Statement Items</t>
  </si>
  <si>
    <t>Flat balance</t>
  </si>
  <si>
    <t>% of previous ending cash</t>
  </si>
  <si>
    <t>% of PBT</t>
  </si>
  <si>
    <t>Balance Sheet Assumptions</t>
  </si>
  <si>
    <t>Property Plant and Equipment</t>
  </si>
  <si>
    <t>Maintainable CAPEX</t>
  </si>
  <si>
    <t>factor</t>
  </si>
  <si>
    <t>Factor of Depreciation</t>
  </si>
  <si>
    <t>Incremental CAPEX</t>
  </si>
  <si>
    <t>Management Decision</t>
  </si>
  <si>
    <t>Right of Use Assets</t>
  </si>
  <si>
    <t>Factor of Amortization</t>
  </si>
  <si>
    <t>Other Non-current Assets</t>
  </si>
  <si>
    <t>Ending Balance</t>
  </si>
  <si>
    <t>Current Assets Inputs</t>
  </si>
  <si>
    <t>Trade receivables</t>
  </si>
  <si>
    <t>Ending balance</t>
  </si>
  <si>
    <t>Prepayment/ Other assets</t>
  </si>
  <si>
    <t>% of COGS</t>
  </si>
  <si>
    <t>Equity Assumption</t>
  </si>
  <si>
    <t>Dividend payout ratio</t>
  </si>
  <si>
    <t>% of PAT</t>
  </si>
  <si>
    <t>Financial Asset reserve</t>
  </si>
  <si>
    <t>Borrowings</t>
  </si>
  <si>
    <t>New Borrowings</t>
  </si>
  <si>
    <t>Repayments</t>
  </si>
  <si>
    <t>% previous loan balance</t>
  </si>
  <si>
    <t>Other Non-current Liabilities</t>
  </si>
  <si>
    <t>Other Financial Liabilities</t>
  </si>
  <si>
    <t>New Financial Liabilities</t>
  </si>
  <si>
    <t>Other Current Liabilities</t>
  </si>
  <si>
    <t>Trade payables</t>
  </si>
  <si>
    <t>Scenario Analysis</t>
  </si>
  <si>
    <t>Scenario Analysis</t>
  </si>
  <si>
    <t>Scenario List</t>
  </si>
  <si>
    <t>Base case</t>
  </si>
  <si>
    <t>Best case</t>
  </si>
  <si>
    <t>Worst case</t>
  </si>
  <si>
    <t>Revenue Growth Rate</t>
  </si>
  <si>
    <t>Live Scenario:</t>
  </si>
  <si>
    <t>COGS as a % of revenue</t>
  </si>
  <si>
    <t>Selling&amp; Distribution cost as a % of revenue</t>
  </si>
  <si>
    <t>Admin cost as a % of Revenue</t>
  </si>
  <si>
    <t>Model Calculations and Schedules</t>
  </si>
  <si>
    <t>P &amp; L Calculation &amp; Schedules</t>
  </si>
  <si>
    <t>Revenue from contracts with customers</t>
  </si>
  <si>
    <t>Distribution costs</t>
  </si>
  <si>
    <t>Other Income Statement Items</t>
  </si>
  <si>
    <t>Net Foreign Exchange (Loss)/Gain</t>
  </si>
  <si>
    <t>(Increase in)/writeback of impairment allowance</t>
  </si>
  <si>
    <t>Balance Sheet Schedule</t>
  </si>
  <si>
    <t>PPE</t>
  </si>
  <si>
    <t>Beginning balance</t>
  </si>
  <si>
    <t>Add: New CAPEX</t>
  </si>
  <si>
    <t>Subtract: Depreciation</t>
  </si>
  <si>
    <t>Right of Use</t>
  </si>
  <si>
    <t>Intangible asset</t>
  </si>
  <si>
    <t>Subtract: Amortization</t>
  </si>
  <si>
    <t>Add: Net profit</t>
  </si>
  <si>
    <t>Subtract: Dividend paid</t>
  </si>
  <si>
    <t>Add: New loans</t>
  </si>
  <si>
    <t>Subtract: Repayment</t>
  </si>
  <si>
    <t>Share Capital</t>
  </si>
  <si>
    <t>Change Share capital</t>
  </si>
  <si>
    <t>Share Premium</t>
  </si>
  <si>
    <t>Change Share premium</t>
  </si>
  <si>
    <t>Financial reserve</t>
  </si>
  <si>
    <t>Change Financial reserve</t>
  </si>
  <si>
    <t>Change Financial assets at FVTOCI</t>
  </si>
  <si>
    <t>Financial assets at amortized cost</t>
  </si>
  <si>
    <t>Change Financial assets at amortized cost</t>
  </si>
  <si>
    <t>Change Other Non-Current Financial Asset</t>
  </si>
  <si>
    <t>Change retirement benefit obligation</t>
  </si>
  <si>
    <t>Change Government grant</t>
  </si>
  <si>
    <t>Operating Working Capital Schedule</t>
  </si>
  <si>
    <t>Asset</t>
  </si>
  <si>
    <t>Total Current Asset</t>
  </si>
  <si>
    <t>Operating Working Capital</t>
  </si>
  <si>
    <t>Changes in OWC</t>
  </si>
  <si>
    <t>Finance Income</t>
  </si>
  <si>
    <t>Cash and cash equivalent</t>
  </si>
  <si>
    <t>Net Profit from Auditors Financials</t>
  </si>
  <si>
    <t>Recon Check</t>
  </si>
  <si>
    <t>Selling and Distribution costs</t>
  </si>
  <si>
    <t>EBITDA</t>
  </si>
  <si>
    <t>EBIT (Operating Profit)</t>
  </si>
  <si>
    <t>Total Assets per audit</t>
  </si>
  <si>
    <t>Total Liabilities per audit</t>
  </si>
  <si>
    <t>BASE - B</t>
  </si>
  <si>
    <t>Recon</t>
  </si>
  <si>
    <t>BCE - C</t>
  </si>
  <si>
    <t>OWC - O</t>
  </si>
  <si>
    <t>B</t>
  </si>
  <si>
    <t>C</t>
  </si>
  <si>
    <t>O</t>
  </si>
  <si>
    <t>Trade receivables</t>
  </si>
  <si>
    <t>Other Financial liabilities</t>
  </si>
  <si>
    <t>Cashflow Statement</t>
  </si>
  <si>
    <t>Cashflow from Operating Activities</t>
  </si>
  <si>
    <t>Add back none cash items:</t>
  </si>
  <si>
    <t>Amortization of Intangible asset</t>
  </si>
  <si>
    <t>Changes in Working Capital</t>
  </si>
  <si>
    <t>Total Cashflow from operating Activities</t>
  </si>
  <si>
    <t>Cashflow from Investing Activities</t>
  </si>
  <si>
    <t>CAPEX PPE</t>
  </si>
  <si>
    <t>CAPEX ROU</t>
  </si>
  <si>
    <t>CAPEX Intangible asset</t>
  </si>
  <si>
    <t>Total Cashflow Investing activities</t>
  </si>
  <si>
    <t>Cashflow from Financing Activities</t>
  </si>
  <si>
    <t>Change in Share Capital</t>
  </si>
  <si>
    <t>Change in Share Premium</t>
  </si>
  <si>
    <t>Dividend paid</t>
  </si>
  <si>
    <t>New loans</t>
  </si>
  <si>
    <t>New other liability</t>
  </si>
  <si>
    <t>Loan repayment</t>
  </si>
  <si>
    <t>Liability repayment</t>
  </si>
  <si>
    <t>Cash Schedule</t>
  </si>
  <si>
    <t>Net cash generated in period</t>
  </si>
  <si>
    <t>Ratio Analysis</t>
  </si>
  <si>
    <t>Average</t>
  </si>
  <si>
    <t>Ratios and Analysis</t>
  </si>
  <si>
    <t>Margins and Growth Analysis</t>
  </si>
  <si>
    <t>Revenue growth</t>
  </si>
  <si>
    <t>Gross Profit Margin</t>
  </si>
  <si>
    <t>EBITDA Margin</t>
  </si>
  <si>
    <t>Net Profit Margin</t>
  </si>
  <si>
    <t>Returns Analysis</t>
  </si>
  <si>
    <t>Return on Investment</t>
  </si>
  <si>
    <t>Net Profit</t>
  </si>
  <si>
    <t>Capital Employed</t>
  </si>
  <si>
    <t>Return on Equity</t>
  </si>
  <si>
    <t>Total equity</t>
  </si>
  <si>
    <t>Return on Asset</t>
  </si>
  <si>
    <t>Asset Turnover</t>
  </si>
  <si>
    <t>Multiple</t>
  </si>
  <si>
    <t>Leverage ratios</t>
  </si>
  <si>
    <t>Interest Coverage Ratio</t>
  </si>
  <si>
    <t>Current Ratio</t>
  </si>
  <si>
    <t>Cash Ratio</t>
  </si>
  <si>
    <t>Loan repayment rate</t>
  </si>
  <si>
    <t>Financial liability repayment rate</t>
  </si>
  <si>
    <t>Minimum cash balance</t>
  </si>
  <si>
    <t>Input (revolver draws to keep cash at this level)</t>
  </si>
  <si>
    <t>% of opening debt (loans + other fin. liabilities + overdraft)</t>
  </si>
  <si>
    <t>Calculated (cash sweep)</t>
  </si>
  <si>
    <t>Operating Liabilities (excl. overdraft)</t>
  </si>
  <si>
    <t>Total Cashflow from Financing activities</t>
  </si>
  <si>
    <t>Net draw/(repayment) of bank overdraft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</si>
</sst>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;[Red]\(#,##0.0\);\-"/>
    <numFmt numFmtId="165" formatCode="0\ &quot;yrs&quot;"/>
    <numFmt numFmtId="166" formatCode="0.0%"/>
    <numFmt numFmtId="167" formatCode="_-* #,##0.0_-;\-* #,##0.0_-;_-* &quot;-&quot;??_-;_-@"/>
    <numFmt numFmtId="168" formatCode="[$]mmm\ d\,\ yyyy"/>
    <numFmt numFmtId="169" formatCode="0.0&quot;x&quot;"/>
  </numFmts>
  <fonts count="19">
    <font>
      <sz val="11"/>
      <color theme="1"/>
      <name val="Aptos Narrow"/>
      <scheme val="minor"/>
    </font>
    <font>
      <sz val="11"/>
      <color theme="1"/>
      <name val="Aptos Narrow"/>
    </font>
    <font>
      <b/>
      <sz val="18"/>
      <color rgb="FF8ED873"/>
      <name val="Aptos Narrow"/>
    </font>
    <font>
      <b/>
      <sz val="14"/>
      <color rgb="FF8ED873"/>
      <name val="Aptos Narrow"/>
    </font>
    <font>
      <b/>
      <sz val="16"/>
      <color theme="4"/>
      <name val="Aptos Narrow"/>
    </font>
    <font>
      <b/>
      <sz val="14"/>
      <color rgb="FF0E2841"/>
      <name val="Aptos Narrow"/>
    </font>
    <font>
      <sz val="11"/>
      <color theme="1"/>
      <name val="Arial"/>
    </font>
    <font>
      <b/>
      <sz val="11"/>
      <color theme="0"/>
      <name val="Aptos Narrow"/>
    </font>
    <font>
      <b/>
      <sz val="18"/>
      <color rgb="FF0E2841"/>
      <name val="Aptos Narrow"/>
    </font>
    <font>
      <i/>
      <sz val="10"/>
      <color rgb="FF7F7F7F"/>
      <name val="Aptos Narrow"/>
    </font>
    <font>
      <b/>
      <sz val="11"/>
      <color theme="1"/>
      <name val="Aptos Narrow"/>
    </font>
    <font>
      <b/>
      <sz val="15"/>
      <color rgb="FF000000"/>
      <name val="Aptos Narrow"/>
    </font>
    <font>
      <b/>
      <sz val="11"/>
      <color rgb="FF47D45A"/>
      <name val="Aptos Narrow"/>
    </font>
    <font>
      <b/>
      <sz val="11"/>
      <color rgb="FF000000"/>
      <name val="Aptos Narrow"/>
    </font>
    <font>
      <b/>
      <sz val="11"/>
      <color theme="1"/>
      <name val="Arial"/>
    </font>
    <font>
      <b/>
      <sz val="11"/>
      <color rgb="FF0E2841"/>
      <name val="Aptos Narrow"/>
    </font>
    <font>
      <i/>
      <sz val="10"/>
      <color rgb="FF7F7F7F"/>
      <name val="Arial"/>
    </font>
    <font>
      <b/>
      <sz val="11"/>
      <color rgb="FF0E2841"/>
      <name val="Arial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4861"/>
        <bgColor rgb="FF0F4861"/>
      </patternFill>
    </fill>
    <fill>
      <patternFill patternType="solid">
        <fgColor rgb="FF8ED873"/>
        <bgColor rgb="FF8ED873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64BD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rgb="FF45B0E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">
    <xf numFmtId="164" fontId="0" fillId="0" borderId="0"/>
  </cellStyleXfs>
  <cellXfs count="91">
    <xf numFmtId="164" fontId="0" fillId="0" borderId="0" xfId="0" applyNumberFormat="1" applyFont="1" applyAlignment="1"/>
    <xf numFmtId="164" fontId="1" fillId="2" borderId="1" xfId="0" applyNumberFormat="1" applyFont="1" applyFill="1" applyBorder="1"/>
    <xf numFmtId="164" fontId="2" fillId="2" borderId="1" xfId="0" applyNumberFormat="1" applyFont="1" applyFill="1" applyBorder="1"/>
    <xf numFmtId="0" fontId="3" fillId="2" borderId="1" xfId="0" applyNumberFormat="1" applyFont="1" applyFill="1" applyBorder="1"/>
    <xf numFmtId="0" fontId="4" fillId="0" borderId="2" xfId="0" applyNumberFormat="1" applyFont="1" applyBorder="1"/>
    <xf numFmtId="0" fontId="5" fillId="0" borderId="3" xfId="0" applyNumberFormat="1" applyFont="1" applyBorder="1"/>
    <xf numFmtId="0" fontId="1" fillId="0" borderId="0" xfId="0" applyNumberFormat="1" applyFont="1"/>
    <xf numFmtId="164" fontId="1" fillId="3" borderId="4" xfId="0" applyNumberFormat="1" applyFont="1" applyFill="1" applyBorder="1"/>
    <xf numFmtId="15" fontId="1" fillId="3" borderId="4" xfId="0" applyNumberFormat="1" applyFont="1" applyFill="1" applyBorder="1"/>
    <xf numFmtId="15" fontId="1" fillId="0" borderId="0" xfId="0" applyNumberFormat="1" applyFont="1"/>
    <xf numFmtId="165" fontId="1" fillId="3" borderId="4" xfId="0" applyNumberFormat="1" applyFont="1" applyFill="1" applyBorder="1"/>
    <xf numFmtId="164" fontId="6" fillId="3" borderId="4" xfId="0" applyNumberFormat="1" applyFont="1" applyFill="1" applyBorder="1"/>
    <xf numFmtId="164" fontId="6" fillId="3" borderId="1" xfId="0" applyNumberFormat="1" applyFont="1" applyFill="1" applyBorder="1"/>
    <xf numFmtId="0" fontId="7" fillId="4" borderId="1" xfId="0" applyNumberFormat="1" applyFont="1" applyFill="1" applyBorder="1"/>
    <xf numFmtId="0" fontId="8" fillId="0" borderId="0" xfId="0" applyNumberFormat="1" applyFont="1"/>
    <xf numFmtId="0" fontId="1" fillId="3" borderId="4" xfId="0" applyNumberFormat="1" applyFont="1" applyFill="1" applyBorder="1"/>
    <xf numFmtId="164" fontId="1" fillId="0" borderId="5" xfId="0" applyNumberFormat="1" applyFont="1" applyBorder="1"/>
    <xf numFmtId="166" fontId="1" fillId="0" borderId="0" xfId="0" applyNumberFormat="1" applyFont="1"/>
    <xf numFmtId="164" fontId="9" fillId="0" borderId="0" xfId="0" applyNumberFormat="1" applyFont="1"/>
    <xf numFmtId="164" fontId="10" fillId="0" borderId="0" xfId="0" applyNumberFormat="1" applyFont="1"/>
    <xf numFmtId="164" fontId="11" fillId="0" borderId="2" xfId="0" applyNumberFormat="1" applyFont="1" applyBorder="1"/>
    <xf numFmtId="164" fontId="12" fillId="2" borderId="6" xfId="0" applyNumberFormat="1" applyFont="1" applyFill="1" applyBorder="1" applyAlignment="1">
      <alignment horizontal="center"/>
    </xf>
    <xf numFmtId="164" fontId="12" fillId="2" borderId="7" xfId="0" applyNumberFormat="1" applyFont="1" applyFill="1" applyBorder="1" applyAlignment="1">
      <alignment horizontal="center"/>
    </xf>
    <xf numFmtId="164" fontId="12" fillId="2" borderId="8" xfId="0" applyNumberFormat="1" applyFont="1" applyFill="1" applyBorder="1" applyAlignment="1">
      <alignment horizontal="center"/>
    </xf>
    <xf numFmtId="164" fontId="10" fillId="0" borderId="9" xfId="0" applyNumberFormat="1" applyFont="1" applyBorder="1"/>
    <xf numFmtId="164" fontId="1" fillId="0" borderId="0" xfId="0" applyNumberFormat="1" applyFont="1"/>
    <xf numFmtId="164" fontId="1" fillId="0" borderId="10" xfId="0" applyNumberFormat="1" applyFont="1" applyBorder="1"/>
    <xf numFmtId="164" fontId="1" fillId="0" borderId="9" xfId="0" applyNumberFormat="1" applyFont="1" applyBorder="1"/>
    <xf numFmtId="164" fontId="10" fillId="0" borderId="11" xfId="0" applyNumberFormat="1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164" fontId="12" fillId="2" borderId="14" xfId="0" applyNumberFormat="1" applyFont="1" applyFill="1" applyBorder="1" applyAlignment="1">
      <alignment horizontal="center"/>
    </xf>
    <xf numFmtId="164" fontId="12" fillId="2" borderId="15" xfId="0" applyNumberFormat="1" applyFont="1" applyFill="1" applyBorder="1" applyAlignment="1">
      <alignment horizontal="center"/>
    </xf>
    <xf numFmtId="164" fontId="12" fillId="2" borderId="16" xfId="0" applyNumberFormat="1" applyFont="1" applyFill="1" applyBorder="1" applyAlignment="1">
      <alignment horizontal="center"/>
    </xf>
    <xf numFmtId="164" fontId="10" fillId="0" borderId="17" xfId="0" applyNumberFormat="1" applyFont="1" applyBorder="1"/>
    <xf numFmtId="164" fontId="1" fillId="0" borderId="18" xfId="0" applyNumberFormat="1" applyFont="1" applyBorder="1"/>
    <xf numFmtId="164" fontId="1" fillId="0" borderId="17" xfId="0" applyNumberFormat="1" applyFont="1" applyBorder="1"/>
    <xf numFmtId="164" fontId="1" fillId="0" borderId="19" xfId="0" applyNumberFormat="1" applyFont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167" fontId="1" fillId="0" borderId="0" xfId="0" applyNumberFormat="1" applyFont="1"/>
    <xf numFmtId="167" fontId="1" fillId="2" borderId="1" xfId="0" applyNumberFormat="1" applyFont="1" applyFill="1" applyBorder="1"/>
    <xf numFmtId="164" fontId="13" fillId="0" borderId="0" xfId="0" applyNumberFormat="1" applyFont="1"/>
    <xf numFmtId="164" fontId="1" fillId="0" borderId="0" xfId="0" applyNumberFormat="1" applyFont="1" applyAlignment="1">
      <alignment horizontal="right"/>
    </xf>
    <xf numFmtId="168" fontId="1" fillId="0" borderId="0" xfId="0" applyNumberFormat="1" applyFont="1"/>
    <xf numFmtId="168" fontId="1" fillId="0" borderId="5" xfId="0" applyNumberFormat="1" applyFont="1" applyBorder="1"/>
    <xf numFmtId="167" fontId="9" fillId="0" borderId="0" xfId="0" applyNumberFormat="1" applyFont="1"/>
    <xf numFmtId="164" fontId="4" fillId="0" borderId="2" xfId="0" applyNumberFormat="1" applyFont="1" applyBorder="1"/>
    <xf numFmtId="167" fontId="4" fillId="0" borderId="2" xfId="0" applyNumberFormat="1" applyFont="1" applyBorder="1"/>
    <xf numFmtId="164" fontId="5" fillId="0" borderId="3" xfId="0" applyNumberFormat="1" applyFont="1" applyBorder="1"/>
    <xf numFmtId="167" fontId="5" fillId="0" borderId="3" xfId="0" applyNumberFormat="1" applyFont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10" fillId="0" borderId="0" xfId="0" applyNumberFormat="1" applyFont="1"/>
    <xf numFmtId="167" fontId="10" fillId="0" borderId="22" xfId="0" applyNumberFormat="1" applyFont="1" applyBorder="1" applyAlignment="1">
      <alignment horizontal="right"/>
    </xf>
    <xf numFmtId="0" fontId="6" fillId="0" borderId="0" xfId="0" applyNumberFormat="1" applyFont="1"/>
    <xf numFmtId="167" fontId="10" fillId="0" borderId="23" xfId="0" applyNumberFormat="1" applyFont="1" applyBorder="1" applyAlignment="1">
      <alignment horizontal="right"/>
    </xf>
    <xf numFmtId="167" fontId="5" fillId="0" borderId="3" xfId="0" applyNumberFormat="1" applyFont="1" applyBorder="1" applyAlignment="1">
      <alignment horizontal="right"/>
    </xf>
    <xf numFmtId="167" fontId="10" fillId="0" borderId="0" xfId="0" applyNumberFormat="1" applyFont="1" applyAlignment="1">
      <alignment horizontal="right"/>
    </xf>
    <xf numFmtId="167" fontId="4" fillId="0" borderId="2" xfId="0" applyNumberFormat="1" applyFont="1" applyBorder="1" applyAlignment="1">
      <alignment horizontal="right"/>
    </xf>
    <xf numFmtId="164" fontId="14" fillId="0" borderId="0" xfId="0" applyNumberFormat="1" applyFont="1"/>
    <xf numFmtId="167" fontId="1" fillId="3" borderId="4" xfId="0" applyNumberFormat="1" applyFont="1" applyFill="1" applyBorder="1"/>
    <xf numFmtId="164" fontId="9" fillId="2" borderId="1" xfId="0" applyNumberFormat="1" applyFont="1" applyFill="1" applyBorder="1"/>
    <xf numFmtId="164" fontId="9" fillId="0" borderId="2" xfId="0" applyNumberFormat="1" applyFont="1" applyBorder="1"/>
    <xf numFmtId="164" fontId="15" fillId="0" borderId="24" xfId="0" applyNumberFormat="1" applyFont="1" applyBorder="1"/>
    <xf numFmtId="164" fontId="9" fillId="0" borderId="24" xfId="0" applyNumberFormat="1" applyFont="1" applyBorder="1"/>
    <xf numFmtId="167" fontId="15" fillId="0" borderId="24" xfId="0" applyNumberFormat="1" applyFont="1" applyBorder="1"/>
    <xf numFmtId="9" fontId="1" fillId="0" borderId="0" xfId="0" applyNumberFormat="1" applyFont="1"/>
    <xf numFmtId="9" fontId="1" fillId="3" borderId="4" xfId="0" applyNumberFormat="1" applyFont="1" applyFill="1" applyBorder="1"/>
    <xf numFmtId="9" fontId="15" fillId="0" borderId="24" xfId="0" applyNumberFormat="1" applyFont="1" applyBorder="1"/>
    <xf numFmtId="9" fontId="6" fillId="0" borderId="0" xfId="0" applyNumberFormat="1" applyFont="1"/>
    <xf numFmtId="164" fontId="16" fillId="0" borderId="0" xfId="0" applyNumberFormat="1" applyFont="1"/>
    <xf numFmtId="169" fontId="1" fillId="3" borderId="4" xfId="0" applyNumberFormat="1" applyFont="1" applyFill="1" applyBorder="1"/>
    <xf numFmtId="164" fontId="17" fillId="0" borderId="24" xfId="0" applyNumberFormat="1" applyFont="1" applyBorder="1"/>
    <xf numFmtId="164" fontId="1" fillId="5" borderId="1" xfId="0" applyNumberFormat="1" applyFont="1" applyFill="1" applyBorder="1"/>
    <xf numFmtId="164" fontId="13" fillId="0" borderId="25" xfId="0" applyNumberFormat="1" applyFont="1" applyBorder="1"/>
    <xf numFmtId="0" fontId="18" fillId="0" borderId="0" xfId="0" applyNumberFormat="1" applyFont="1"/>
    <xf numFmtId="9" fontId="10" fillId="0" borderId="0" xfId="0" applyNumberFormat="1" applyFont="1"/>
    <xf numFmtId="167" fontId="1" fillId="0" borderId="5" xfId="0" applyNumberFormat="1" applyFont="1" applyBorder="1"/>
    <xf numFmtId="167" fontId="10" fillId="3" borderId="26" xfId="0" applyNumberFormat="1" applyFont="1" applyFill="1" applyBorder="1"/>
    <xf numFmtId="167" fontId="10" fillId="0" borderId="27" xfId="0" applyNumberFormat="1" applyFont="1" applyBorder="1"/>
    <xf numFmtId="164" fontId="18" fillId="0" borderId="0" xfId="0" applyNumberFormat="1" applyFont="1"/>
    <xf numFmtId="164" fontId="10" fillId="0" borderId="22" xfId="0" applyNumberFormat="1" applyFont="1" applyBorder="1"/>
    <xf numFmtId="167" fontId="10" fillId="0" borderId="22" xfId="0" applyNumberFormat="1" applyFont="1" applyBorder="1"/>
    <xf numFmtId="164" fontId="10" fillId="0" borderId="23" xfId="0" applyNumberFormat="1" applyFont="1" applyBorder="1"/>
    <xf numFmtId="167" fontId="10" fillId="0" borderId="23" xfId="0" applyNumberFormat="1" applyFont="1" applyBorder="1"/>
    <xf numFmtId="167" fontId="18" fillId="0" borderId="0" xfId="0" applyNumberFormat="1" applyFont="1"/>
    <xf numFmtId="164" fontId="10" fillId="0" borderId="27" xfId="0" applyNumberFormat="1" applyFont="1" applyBorder="1"/>
    <xf numFmtId="15" fontId="1" fillId="0" borderId="5" xfId="0" applyNumberFormat="1" applyFont="1" applyBorder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Yearly Revenue vs Profit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'P or L'!$M$6:$R$6</c:f>
              <c:numCache>
                <c:formatCode>[$]mmm\ d\,\ yyyy</c:formatCode>
                <c:ptCount val="6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</c:numCache>
            </c:numRef>
          </c:cat>
          <c:val>
            <c:numRef>
              <c:f>'P or L'!$M$13:$R$13</c:f>
              <c:numCache>
                <c:formatCode>_-* #,##0.0_-;\-* #,##0.0_-;_-* "-"??_-;_-@</c:formatCode>
                <c:ptCount val="6"/>
                <c:pt idx="0">
                  <c:v>84189000</c:v>
                </c:pt>
                <c:pt idx="1">
                  <c:v>119061254</c:v>
                </c:pt>
                <c:pt idx="2">
                  <c:v>170921911.45634604</c:v>
                </c:pt>
                <c:pt idx="3">
                  <c:v>234163018.6951941</c:v>
                </c:pt>
                <c:pt idx="4">
                  <c:v>306753554.4907043</c:v>
                </c:pt>
                <c:pt idx="5">
                  <c:v>383441943.11338037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5-47E5-87C7-AA91F2EA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5688014"/>
        <c:axId val="575274193"/>
      </c:barChart>
      <c:lineChart>
        <c:grouping val="standard"/>
        <c:varyColors val="0"/>
        <c:ser>
          <c:idx val="1"/>
          <c:order val="1"/>
          <c:tx>
            <c:v>Profit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'P or L'!$M$6:$R$6</c:f>
              <c:numCache>
                <c:formatCode>[$]mmm\ d\,\ yyyy</c:formatCode>
                <c:ptCount val="6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</c:numCache>
            </c:numRef>
          </c:cat>
          <c:val>
            <c:numRef>
              <c:f>'P or L'!$M$30:$R$30</c:f>
              <c:numCache>
                <c:formatCode>_-* #,##0.0_-;\-* #,##0.0_-;_-* "-"??_-;_-@</c:formatCode>
                <c:ptCount val="6"/>
                <c:pt idx="0">
                  <c:v>4398963</c:v>
                </c:pt>
                <c:pt idx="1">
                  <c:v>9883576</c:v>
                </c:pt>
                <c:pt idx="2">
                  <c:v>14652470.410174826</c:v>
                </c:pt>
                <c:pt idx="3">
                  <c:v>21929315.650722135</c:v>
                </c:pt>
                <c:pt idx="4">
                  <c:v>30814467.805416699</c:v>
                </c:pt>
                <c:pt idx="5">
                  <c:v>40532772.461946875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5-47E5-87C7-AA91F2EA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688014"/>
        <c:axId val="575274193"/>
      </c:lineChart>
      <c:dateAx>
        <c:axId val="1735688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]mmm\ d\,\ 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5274193"/>
        <c:crosses val="autoZero"/>
        <c:auto val="1"/>
        <c:lblOffset val="100"/>
        <c:baseTimeUnit val="years"/>
      </c:dateAx>
      <c:valAx>
        <c:axId val="5752741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* #,##0.0_-;\-* #,##0.0_-;_-* &quot;-&quot;??_-;_-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56880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Asset Liability and Equity Balances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Asset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BS!$L$6:$R$6</c:f>
              <c:numCache>
                <c:formatCode>[$]mmm\ d\,\ yyyy</c:formatCode>
                <c:ptCount val="7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</c:numCache>
            </c:numRef>
          </c:cat>
          <c:val>
            <c:numRef>
              <c:f>BS!$L$7:$R$7</c:f>
              <c:numCache>
                <c:formatCode>_-* #,##0.0_-;\-* #,##0.0_-;_-* "-"??_-;_-@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B7BD-4959-8E3A-ED705E58E03C}"/>
            </c:ext>
          </c:extLst>
        </c:ser>
        <c:ser>
          <c:idx val="1"/>
          <c:order val="1"/>
          <c:tx>
            <c:v>Liability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numRef>
              <c:f>BS!$L$6:$R$6</c:f>
              <c:numCache>
                <c:formatCode>[$]mmm\ d\,\ yyyy</c:formatCode>
                <c:ptCount val="7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</c:numCache>
            </c:numRef>
          </c:cat>
          <c:val>
            <c:numRef>
              <c:f>BS!$L$31:$R$31</c:f>
              <c:numCache>
                <c:formatCode>_-* #,##0.0_-;\-* #,##0.0_-;_-* "-"??_-;_-@</c:formatCode>
                <c:ptCount val="7"/>
                <c:pt idx="0">
                  <c:v>61991126</c:v>
                </c:pt>
                <c:pt idx="1">
                  <c:v>73493480</c:v>
                </c:pt>
                <c:pt idx="2">
                  <c:v>80286939</c:v>
                </c:pt>
                <c:pt idx="3">
                  <c:v>112689508.30323136</c:v>
                </c:pt>
                <c:pt idx="4">
                  <c:v>142168392.7219753</c:v>
                </c:pt>
                <c:pt idx="5">
                  <c:v>176020134.81435016</c:v>
                </c:pt>
                <c:pt idx="6">
                  <c:v>211856028.3004092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D-4959-8E3A-ED705E58E03C}"/>
            </c:ext>
          </c:extLst>
        </c:ser>
        <c:ser>
          <c:idx val="2"/>
          <c:order val="2"/>
          <c:tx>
            <c:v>Equity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numRef>
              <c:f>BS!$L$6:$R$6</c:f>
              <c:numCache>
                <c:formatCode>[$]mmm\ d\,\ yyyy</c:formatCode>
                <c:ptCount val="7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</c:numCache>
            </c:numRef>
          </c:cat>
          <c:val>
            <c:numRef>
              <c:f>BS!$L$38:$R$38</c:f>
              <c:numCache>
                <c:formatCode>_-* #,##0.0_-;\-* #,##0.0_-;_-* "-"??_-;_-@</c:formatCode>
                <c:ptCount val="7"/>
                <c:pt idx="0">
                  <c:v>19293728</c:v>
                </c:pt>
                <c:pt idx="1">
                  <c:v>22345892</c:v>
                </c:pt>
                <c:pt idx="2">
                  <c:v>30196827</c:v>
                </c:pt>
                <c:pt idx="3">
                  <c:v>40477813.128055558</c:v>
                </c:pt>
                <c:pt idx="4">
                  <c:v>55864637.580966085</c:v>
                </c:pt>
                <c:pt idx="5">
                  <c:v>77485777.715186223</c:v>
                </c:pt>
                <c:pt idx="6">
                  <c:v>105925819.54755436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D-4959-8E3A-ED705E58E03C}"/>
            </c:ext>
          </c:extLst>
        </c:ser>
        <c:ser>
          <c:idx val="3"/>
          <c:order val="3"/>
          <c:invertIfNegative val="0"/>
          <c:cat>
            <c:numRef>
              <c:f>BS!$L$6:$R$6</c:f>
              <c:numCache>
                <c:formatCode>[$]mmm\ d\,\ yyyy</c:formatCode>
                <c:ptCount val="7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  <c:pt idx="4">
                  <c:v>46752</c:v>
                </c:pt>
                <c:pt idx="5">
                  <c:v>47118</c:v>
                </c:pt>
                <c:pt idx="6">
                  <c:v>47483</c:v>
                </c:pt>
              </c:numCache>
            </c:numRef>
          </c:cat>
          <c:val>
            <c:numRef>
              <c:f>BS!$L$54:$R$54</c:f>
              <c:numCache>
                <c:formatCode>_-* #,##0.0_-;\-* #,##0.0_-;_-* "-"??_-;_-@</c:formatCode>
                <c:ptCount val="7"/>
                <c:pt idx="0">
                  <c:v>42697398</c:v>
                </c:pt>
                <c:pt idx="1">
                  <c:v>51147588</c:v>
                </c:pt>
                <c:pt idx="2">
                  <c:v>50090112</c:v>
                </c:pt>
                <c:pt idx="3">
                  <c:v>72211695.175175786</c:v>
                </c:pt>
                <c:pt idx="4">
                  <c:v>86303755.141009212</c:v>
                </c:pt>
                <c:pt idx="5">
                  <c:v>98534357.09916392</c:v>
                </c:pt>
                <c:pt idx="6">
                  <c:v>105930208.75285484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D-4959-8E3A-ED705E58E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031847"/>
        <c:axId val="1783975528"/>
      </c:barChart>
      <c:dateAx>
        <c:axId val="20710318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]mmm\ d\,\ 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3975528"/>
        <c:crosses val="autoZero"/>
        <c:auto val="1"/>
        <c:lblOffset val="100"/>
        <c:baseTimeUnit val="years"/>
      </c:dateAx>
      <c:valAx>
        <c:axId val="1783975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* #,##0.0_-;\-* #,##0.0_-;_-* &quot;-&quot;??_-;_-@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103184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180975</xdr:colOff>
      <xdr:row>13</xdr:row>
      <xdr:rowOff>85725</xdr:rowOff>
    </xdr:from>
    <xdr:ext cx="5057775" cy="22669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85725</xdr:colOff>
      <xdr:row>24</xdr:row>
      <xdr:rowOff>85725</xdr:rowOff>
    </xdr:from>
    <xdr:ext cx="5438775" cy="200977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590550</xdr:colOff>
      <xdr:row>7</xdr:row>
      <xdr:rowOff>161925</xdr:rowOff>
    </xdr:from>
    <xdr:ext cx="1352550" cy="1009650"/>
    <xdr:sp macro="" textlink="">
      <xdr:nvSpPr>
        <xdr:cNvPr id="4" name="Shape 3"/>
        <xdr:cNvSpPr/>
      </xdr:nvSpPr>
      <xdr:spPr>
        <a:xfrm>
          <a:off x="4674488" y="3279938"/>
          <a:ext cx="1343025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Average Revenue Growth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39%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  <xdr:oneCellAnchor>
    <xdr:from>
      <xdr:col>3</xdr:col>
      <xdr:colOff>2324100</xdr:colOff>
      <xdr:row>7</xdr:row>
      <xdr:rowOff>152400</xdr:rowOff>
    </xdr:from>
    <xdr:ext cx="1962150" cy="1009650"/>
    <xdr:sp macro="" textlink="">
      <xdr:nvSpPr>
        <xdr:cNvPr id="5" name="Shape 4"/>
        <xdr:cNvSpPr/>
      </xdr:nvSpPr>
      <xdr:spPr>
        <a:xfrm>
          <a:off x="4369688" y="3279938"/>
          <a:ext cx="1952625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Average EBITDA Margin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55%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  <xdr:oneCellAnchor>
    <xdr:from>
      <xdr:col>8</xdr:col>
      <xdr:colOff>323850</xdr:colOff>
      <xdr:row>7</xdr:row>
      <xdr:rowOff>152400</xdr:rowOff>
    </xdr:from>
    <xdr:ext cx="1447800" cy="1009650"/>
    <xdr:sp macro="" textlink="">
      <xdr:nvSpPr>
        <xdr:cNvPr id="6" name="Shape 5"/>
        <xdr:cNvSpPr/>
      </xdr:nvSpPr>
      <xdr:spPr>
        <a:xfrm>
          <a:off x="4626863" y="3279938"/>
          <a:ext cx="1438275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Asset Turnover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47D358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1.0x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  <xdr:oneCellAnchor>
    <xdr:from>
      <xdr:col>12</xdr:col>
      <xdr:colOff>142875</xdr:colOff>
      <xdr:row>7</xdr:row>
      <xdr:rowOff>123825</xdr:rowOff>
    </xdr:from>
    <xdr:ext cx="1543050" cy="1009650"/>
    <xdr:sp macro="" textlink="">
      <xdr:nvSpPr>
        <xdr:cNvPr id="7" name="Shape 6"/>
        <xdr:cNvSpPr/>
      </xdr:nvSpPr>
      <xdr:spPr>
        <a:xfrm>
          <a:off x="4579238" y="3279938"/>
          <a:ext cx="1533525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Return on Investment (ROI)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51%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  <xdr:oneCellAnchor>
    <xdr:from>
      <xdr:col>14</xdr:col>
      <xdr:colOff>361950</xdr:colOff>
      <xdr:row>7</xdr:row>
      <xdr:rowOff>114300</xdr:rowOff>
    </xdr:from>
    <xdr:ext cx="1543050" cy="1009650"/>
    <xdr:sp macro="" textlink="">
      <xdr:nvSpPr>
        <xdr:cNvPr id="8" name="Shape 7"/>
        <xdr:cNvSpPr/>
      </xdr:nvSpPr>
      <xdr:spPr>
        <a:xfrm>
          <a:off x="4579238" y="3279938"/>
          <a:ext cx="1533525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Current Ratio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47D358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4.8x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  <xdr:oneCellAnchor>
    <xdr:from>
      <xdr:col>16</xdr:col>
      <xdr:colOff>590550</xdr:colOff>
      <xdr:row>7</xdr:row>
      <xdr:rowOff>123825</xdr:rowOff>
    </xdr:from>
    <xdr:ext cx="1543050" cy="1009650"/>
    <xdr:sp macro="" textlink="">
      <xdr:nvSpPr>
        <xdr:cNvPr id="9" name="Shape 8"/>
        <xdr:cNvSpPr/>
      </xdr:nvSpPr>
      <xdr:spPr>
        <a:xfrm>
          <a:off x="4579238" y="3279938"/>
          <a:ext cx="1533525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Cash Ratio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47D358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2.0x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  <xdr:oneCellAnchor>
    <xdr:from>
      <xdr:col>6</xdr:col>
      <xdr:colOff>228600</xdr:colOff>
      <xdr:row>7</xdr:row>
      <xdr:rowOff>161925</xdr:rowOff>
    </xdr:from>
    <xdr:ext cx="1438275" cy="1009650"/>
    <xdr:sp macro="" textlink="">
      <xdr:nvSpPr>
        <xdr:cNvPr id="10" name="Shape 9"/>
        <xdr:cNvSpPr/>
      </xdr:nvSpPr>
      <xdr:spPr>
        <a:xfrm>
          <a:off x="4631625" y="3279938"/>
          <a:ext cx="1428750" cy="1000125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Net Profit Margin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47D358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48%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  <xdr:oneCellAnchor>
    <xdr:from>
      <xdr:col>10</xdr:col>
      <xdr:colOff>171450</xdr:colOff>
      <xdr:row>7</xdr:row>
      <xdr:rowOff>171450</xdr:rowOff>
    </xdr:from>
    <xdr:ext cx="1447800" cy="1028700"/>
    <xdr:sp macro="" textlink="">
      <xdr:nvSpPr>
        <xdr:cNvPr id="11" name="Shape 10"/>
        <xdr:cNvSpPr/>
      </xdr:nvSpPr>
      <xdr:spPr>
        <a:xfrm>
          <a:off x="4626863" y="3275175"/>
          <a:ext cx="1438275" cy="100965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Return on Asset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47D358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47D358"/>
              </a:solidFill>
              <a:latin typeface="Arial"/>
              <a:ea typeface="Arial"/>
              <a:cs typeface="Arial"/>
              <a:sym typeface="Arial"/>
            </a:rPr>
            <a:t>46%</a:t>
          </a:r>
          <a:endParaRPr sz="1100" b="1">
            <a:solidFill>
              <a:srgbClr val="47D358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showGridLines="0" workbookViewId="0"/>
  </sheetViews>
  <sheetFormatPr defaultColWidth="12.625" defaultRowHeight="15" customHeight="1"/>
  <cols>
    <col min="1" max="6" width="8.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S1000"/>
  <sheetViews>
    <sheetView showGridLines="0" tabSelected="1" workbookViewId="0"/>
  </sheetViews>
  <sheetFormatPr defaultColWidth="12.625" defaultRowHeight="15" customHeight="1"/>
  <cols>
    <col min="1" max="3" width="1.625" customWidth="1"/>
    <col min="4" max="4" width="24.375" customWidth="1"/>
    <col min="5" max="5" width="21.125" customWidth="1"/>
    <col min="6" max="19" width="8.625" customWidth="1"/>
  </cols>
  <sheetData>
    <row r="1" spans="1:19" ht="7.5" customHeight="1"/>
    <row r="2" spans="1:19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>
      <c r="A3" s="1"/>
      <c r="B3" s="1"/>
      <c r="C3" s="3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6" spans="1:19" ht="20.25">
      <c r="B6" s="4" t="s">
        <v>1</v>
      </c>
      <c r="C6" s="4"/>
      <c r="D6" s="4"/>
      <c r="E6" s="4"/>
      <c r="F6" s="4"/>
      <c r="G6" s="4"/>
      <c r="H6" s="4"/>
      <c r="I6" s="4"/>
      <c r="J6" s="4"/>
      <c r="K6" s="4"/>
    </row>
    <row r="7" spans="1:19" ht="18">
      <c r="C7" s="5" t="s">
        <v>2</v>
      </c>
      <c r="D7" s="5"/>
      <c r="E7" s="5"/>
      <c r="F7" s="5"/>
      <c r="G7" s="5"/>
      <c r="H7" s="5"/>
      <c r="I7" s="5"/>
      <c r="J7" s="5"/>
      <c r="K7" s="5"/>
    </row>
    <row r="8" spans="1:19" ht="14.25">
      <c r="D8" s="6" t="s">
        <v>3</v>
      </c>
      <c r="E8" s="7" t="s">
        <v>4</v>
      </c>
    </row>
    <row r="9" spans="1:19" ht="14.25">
      <c r="D9" s="6" t="s">
        <v>5</v>
      </c>
      <c r="E9" s="7" t="s">
        <v>6</v>
      </c>
    </row>
    <row r="10" spans="1:19" ht="14.25">
      <c r="D10" s="6" t="s">
        <v>7</v>
      </c>
      <c r="E10" s="7" t="s">
        <v>8</v>
      </c>
    </row>
    <row r="13" spans="1:19" ht="18">
      <c r="C13" s="5" t="s">
        <v>9</v>
      </c>
      <c r="D13" s="5"/>
      <c r="E13" s="5"/>
      <c r="F13" s="5"/>
      <c r="G13" s="5"/>
      <c r="H13" s="5"/>
      <c r="I13" s="5"/>
      <c r="J13" s="5"/>
      <c r="K13" s="5"/>
    </row>
    <row r="14" spans="1:19" ht="14.25">
      <c r="D14" s="6" t="s">
        <v>10</v>
      </c>
      <c r="E14" s="8">
        <v>44562</v>
      </c>
    </row>
    <row r="15" spans="1:19" ht="14.25">
      <c r="D15" s="6" t="s">
        <v>11</v>
      </c>
      <c r="E15" s="8">
        <v>45657</v>
      </c>
    </row>
    <row r="16" spans="1:19" ht="14.25">
      <c r="D16" s="6" t="s">
        <v>12</v>
      </c>
      <c r="E16" s="9">
        <f>E15+1</f>
        <v>45658</v>
      </c>
    </row>
    <row r="17" spans="3:11" ht="14.25">
      <c r="D17" s="6" t="s">
        <v>13</v>
      </c>
      <c r="E17" s="10">
        <v>5</v>
      </c>
    </row>
    <row r="18" spans="3:11" ht="14.25">
      <c r="D18" s="6" t="s">
        <v>14</v>
      </c>
      <c r="E18" s="9">
        <f>DATE(YEAR(E16)+E17-1,12,31)</f>
        <v>47483</v>
      </c>
    </row>
    <row r="19" spans="3:11" ht="14.25">
      <c r="D19" s="6" t="s">
        <v>15</v>
      </c>
      <c r="E19" s="11" t="s">
        <v>16</v>
      </c>
    </row>
    <row r="20" spans="3:11" ht="14.25">
      <c r="D20" s="6" t="s">
        <v>17</v>
      </c>
      <c r="E20" s="12" t="s">
        <v>18</v>
      </c>
    </row>
    <row r="21" spans="3:11" ht="15.75" customHeight="1"/>
    <row r="22" spans="3:11" ht="15.75" customHeight="1">
      <c r="C22" s="5" t="s">
        <v>19</v>
      </c>
      <c r="D22" s="5"/>
      <c r="E22" s="5"/>
      <c r="F22" s="5"/>
      <c r="G22" s="5"/>
      <c r="H22" s="5"/>
      <c r="I22" s="5"/>
      <c r="J22" s="5"/>
      <c r="K22" s="5"/>
    </row>
    <row r="23" spans="3:11" ht="15.75" customHeight="1">
      <c r="D23" s="13" t="s">
        <v>20</v>
      </c>
      <c r="E23" s="13" t="s">
        <v>21</v>
      </c>
      <c r="F23" s="13" t="s">
        <v>22</v>
      </c>
    </row>
    <row r="24" spans="3:11" ht="15.75" customHeight="1">
      <c r="D24" s="6" t="s">
        <v>23</v>
      </c>
      <c r="E24" s="14" t="s">
        <v>24</v>
      </c>
      <c r="F24" s="6" t="s">
        <v>25</v>
      </c>
    </row>
    <row r="25" spans="3:11" ht="15.75" customHeight="1">
      <c r="D25" s="6" t="s">
        <v>26</v>
      </c>
      <c r="E25" s="4" t="s">
        <v>24</v>
      </c>
      <c r="F25" s="6" t="s">
        <v>27</v>
      </c>
    </row>
    <row r="26" spans="3:11" ht="15.75" customHeight="1">
      <c r="D26" s="6" t="s">
        <v>28</v>
      </c>
      <c r="E26" s="5" t="s">
        <v>24</v>
      </c>
      <c r="F26" s="6" t="s">
        <v>29</v>
      </c>
    </row>
    <row r="27" spans="3:11" ht="15.75" customHeight="1">
      <c r="D27" s="6" t="s">
        <v>30</v>
      </c>
      <c r="E27" s="13" t="s">
        <v>31</v>
      </c>
      <c r="F27" s="6" t="s">
        <v>32</v>
      </c>
    </row>
    <row r="28" spans="3:11" ht="15.75" customHeight="1">
      <c r="D28" s="6" t="s">
        <v>33</v>
      </c>
      <c r="E28" s="15">
        <v>1234.5</v>
      </c>
      <c r="F28" s="6" t="s">
        <v>34</v>
      </c>
    </row>
    <row r="29" spans="3:11" ht="15.75" customHeight="1">
      <c r="D29" s="6" t="s">
        <v>35</v>
      </c>
      <c r="E29" s="6">
        <v>1234.56</v>
      </c>
      <c r="F29" s="6" t="s">
        <v>36</v>
      </c>
    </row>
    <row r="30" spans="3:11" ht="15.75" customHeight="1">
      <c r="D30" s="6" t="s">
        <v>37</v>
      </c>
      <c r="E30" s="16">
        <v>1234.5</v>
      </c>
      <c r="F30" s="6" t="s">
        <v>38</v>
      </c>
    </row>
    <row r="31" spans="3:11" ht="15.75" customHeight="1">
      <c r="D31" s="6" t="s">
        <v>39</v>
      </c>
      <c r="E31" s="17">
        <v>0.01</v>
      </c>
      <c r="F31" s="6" t="s">
        <v>40</v>
      </c>
    </row>
    <row r="32" spans="3:11" ht="15.75" customHeight="1">
      <c r="D32" s="6" t="s">
        <v>41</v>
      </c>
      <c r="E32" s="18" t="s">
        <v>42</v>
      </c>
      <c r="F32" s="6" t="s">
        <v>43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E20">
      <formula1>"Yes,No"</formula1>
    </dataValidation>
  </dataValidations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S1000"/>
  <sheetViews>
    <sheetView showGridLines="0" workbookViewId="0"/>
  </sheetViews>
  <sheetFormatPr defaultColWidth="12.625" defaultRowHeight="15" customHeight="1"/>
  <cols>
    <col min="1" max="3" width="1.625" customWidth="1"/>
    <col min="4" max="4" width="36.375" customWidth="1"/>
    <col min="5" max="5" width="11.875" customWidth="1"/>
    <col min="6" max="7" width="11.75" customWidth="1"/>
    <col min="8" max="9" width="12.75" customWidth="1"/>
    <col min="10" max="10" width="13.375" customWidth="1"/>
    <col min="11" max="12" width="12.75" customWidth="1"/>
    <col min="13" max="19" width="9.75" customWidth="1"/>
  </cols>
  <sheetData>
    <row r="1" spans="1:19" ht="7.5" customHeight="1"/>
    <row r="2" spans="1:19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>
      <c r="A3" s="1"/>
      <c r="B3" s="1"/>
      <c r="C3" s="3" t="s">
        <v>44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D5" s="19" t="str">
        <f>"Balance sheet check: " &amp;BSCheck</f>
        <v>Balance sheet check: OK</v>
      </c>
      <c r="G5" s="9"/>
      <c r="H5" s="9"/>
    </row>
    <row r="6" spans="1:19">
      <c r="D6" s="19" t="str">
        <f t="array" ref="D6">livescenario</f>
        <v>Live Scenario: Base case</v>
      </c>
      <c r="G6" s="9"/>
      <c r="H6" s="9"/>
    </row>
    <row r="7" spans="1:19" ht="6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16" spans="1:19" ht="15" customHeight="1">
      <c r="D16" s="21" t="s">
        <v>45</v>
      </c>
      <c r="E16" s="22" t="s">
        <v>46</v>
      </c>
      <c r="F16" s="22" t="s">
        <v>47</v>
      </c>
      <c r="G16" s="22" t="s">
        <v>48</v>
      </c>
      <c r="H16" s="22" t="s">
        <v>49</v>
      </c>
      <c r="I16" s="22" t="s">
        <v>50</v>
      </c>
      <c r="J16" s="22" t="s">
        <v>51</v>
      </c>
      <c r="K16" s="22" t="s">
        <v>52</v>
      </c>
      <c r="L16" s="23" t="s">
        <v>53</v>
      </c>
    </row>
    <row r="17" spans="4:12" ht="15" customHeight="1">
      <c r="D17" s="24" t="str">
        <f>'P or L'!D13</f>
        <v>Revenue from contracts with customers</v>
      </c>
      <c r="E17" s="25"/>
      <c r="F17" s="25">
        <f>'P or L'!L13</f>
        <v>53050354</v>
      </c>
      <c r="G17" s="25">
        <f>'P or L'!M13</f>
        <v>84189000</v>
      </c>
      <c r="H17" s="25">
        <f>'P or L'!N13</f>
        <v>119061254</v>
      </c>
      <c r="I17" s="25">
        <f>'P or L'!O13</f>
        <v>170921911.45634604</v>
      </c>
      <c r="J17" s="25">
        <f>'P or L'!P13</f>
        <v>234163018.6951941</v>
      </c>
      <c r="K17" s="25">
        <f>'P or L'!Q13</f>
        <v>306753554.4907043</v>
      </c>
      <c r="L17" s="26">
        <f>'P or L'!R13</f>
        <v>383441943.11338037</v>
      </c>
    </row>
    <row r="18" spans="4:12" ht="15" customHeight="1">
      <c r="D18" s="27" t="str">
        <f>'P or L'!D14</f>
        <v>Cost of Sales</v>
      </c>
      <c r="E18" s="25"/>
      <c r="F18" s="25">
        <f>'P or L'!L14</f>
        <v>29600790</v>
      </c>
      <c r="G18" s="25">
        <f>'P or L'!M14</f>
        <v>46089425</v>
      </c>
      <c r="H18" s="25">
        <f>'P or L'!N14</f>
        <v>66296769</v>
      </c>
      <c r="I18" s="25">
        <f>'P or L'!O14</f>
        <v>94705341.444939122</v>
      </c>
      <c r="J18" s="25">
        <f>'P or L'!P14</f>
        <v>129746317.7795666</v>
      </c>
      <c r="K18" s="25">
        <f>'P or L'!Q14</f>
        <v>169967676.29123226</v>
      </c>
      <c r="L18" s="26">
        <f>'P or L'!R14</f>
        <v>212459595.36404034</v>
      </c>
    </row>
    <row r="19" spans="4:12" ht="15" customHeight="1">
      <c r="D19" s="24" t="str">
        <f>'P or L'!D15</f>
        <v>Gross Profit</v>
      </c>
      <c r="E19" s="25"/>
      <c r="F19" s="25">
        <f>'P or L'!L15</f>
        <v>23449564</v>
      </c>
      <c r="G19" s="25">
        <f>'P or L'!M15</f>
        <v>38099575</v>
      </c>
      <c r="H19" s="25">
        <f>'P or L'!N15</f>
        <v>52764485</v>
      </c>
      <c r="I19" s="25">
        <f>'P or L'!O15</f>
        <v>76216570.011406913</v>
      </c>
      <c r="J19" s="25">
        <f>'P or L'!P15</f>
        <v>104416700.91562749</v>
      </c>
      <c r="K19" s="25">
        <f>'P or L'!Q15</f>
        <v>136785878.19947204</v>
      </c>
      <c r="L19" s="26">
        <f>'P or L'!R15</f>
        <v>170982347.74934003</v>
      </c>
    </row>
    <row r="20" spans="4:12" ht="15" customHeight="1">
      <c r="D20" s="24" t="str">
        <f>'P or L'!D19</f>
        <v>EBITDA</v>
      </c>
      <c r="E20" s="25"/>
      <c r="F20" s="25">
        <f>'P or L'!L19</f>
        <v>10752033</v>
      </c>
      <c r="G20" s="25">
        <f>'P or L'!M19</f>
        <v>20552241</v>
      </c>
      <c r="H20" s="25">
        <f>'P or L'!N19</f>
        <v>30332592</v>
      </c>
      <c r="I20" s="25">
        <f>'P or L'!O19</f>
        <v>39970707.075901233</v>
      </c>
      <c r="J20" s="25">
        <f>'P or L'!P19</f>
        <v>54759868.693984702</v>
      </c>
      <c r="K20" s="25">
        <f>'P or L'!Q19</f>
        <v>71735427.989119977</v>
      </c>
      <c r="L20" s="26">
        <f>'P or L'!R19</f>
        <v>89669284.986399949</v>
      </c>
    </row>
    <row r="21" spans="4:12" ht="15" customHeight="1">
      <c r="D21" s="24" t="str">
        <f>'P or L'!D23</f>
        <v>EBIT (Operating Profit)</v>
      </c>
      <c r="E21" s="25"/>
      <c r="F21" s="25">
        <f>'P or L'!L23</f>
        <v>9485296</v>
      </c>
      <c r="G21" s="25">
        <f>'P or L'!M23</f>
        <v>18884591</v>
      </c>
      <c r="H21" s="25">
        <f>'P or L'!N23</f>
        <v>28093748</v>
      </c>
      <c r="I21" s="25">
        <f>'P or L'!O23</f>
        <v>36846699.083464049</v>
      </c>
      <c r="J21" s="25">
        <f>'P or L'!P23</f>
        <v>51159698.071299627</v>
      </c>
      <c r="K21" s="25">
        <f>'P or L'!Q23</f>
        <v>67455384.532807156</v>
      </c>
      <c r="L21" s="26">
        <f>'P or L'!R23</f>
        <v>84415966.643826202</v>
      </c>
    </row>
    <row r="22" spans="4:12" ht="15.75" customHeight="1">
      <c r="D22" s="24" t="str">
        <f>'P or L'!D28</f>
        <v>Profit before taxation</v>
      </c>
      <c r="E22" s="25"/>
      <c r="F22" s="25">
        <f>'P or L'!L28</f>
        <v>5917409</v>
      </c>
      <c r="G22" s="25">
        <f>'P or L'!M28</f>
        <v>7700460</v>
      </c>
      <c r="H22" s="25">
        <f>'P or L'!N28</f>
        <v>14962608</v>
      </c>
      <c r="I22" s="25">
        <f>'P or L'!O28</f>
        <v>23790118.699262552</v>
      </c>
      <c r="J22" s="25">
        <f>'P or L'!P28</f>
        <v>35604987.262898758</v>
      </c>
      <c r="K22" s="25">
        <f>'P or L'!Q28</f>
        <v>50031143.296928927</v>
      </c>
      <c r="L22" s="26">
        <f>'P or L'!R28</f>
        <v>65810026.643036991</v>
      </c>
    </row>
    <row r="23" spans="4:12" ht="15.75" customHeight="1">
      <c r="D23" s="27" t="str">
        <f>'P or L'!D29</f>
        <v>Taxation</v>
      </c>
      <c r="E23" s="25"/>
      <c r="F23" s="25">
        <f>'P or L'!L29</f>
        <v>2309816</v>
      </c>
      <c r="G23" s="25">
        <f>'P or L'!M29</f>
        <v>3301497</v>
      </c>
      <c r="H23" s="25">
        <f>'P or L'!N29</f>
        <v>5079032</v>
      </c>
      <c r="I23" s="25">
        <f>'P or L'!O29</f>
        <v>9137648.2890877258</v>
      </c>
      <c r="J23" s="25">
        <f>'P or L'!P29</f>
        <v>13675671.612176623</v>
      </c>
      <c r="K23" s="25">
        <f>'P or L'!Q29</f>
        <v>19216675.491512228</v>
      </c>
      <c r="L23" s="26">
        <f>'P or L'!R29</f>
        <v>25277254.18109012</v>
      </c>
    </row>
    <row r="24" spans="4:12" ht="15.75" customHeight="1">
      <c r="D24" s="28" t="str">
        <f>'P or L'!D30</f>
        <v>Profit for the year</v>
      </c>
      <c r="E24" s="29"/>
      <c r="F24" s="29">
        <f>'P or L'!L30</f>
        <v>3607593</v>
      </c>
      <c r="G24" s="29">
        <f>'P or L'!M30</f>
        <v>4398963</v>
      </c>
      <c r="H24" s="29">
        <f>'P or L'!N30</f>
        <v>9883576</v>
      </c>
      <c r="I24" s="29">
        <f>'P or L'!O30</f>
        <v>14652470.410174826</v>
      </c>
      <c r="J24" s="29">
        <f>'P or L'!P30</f>
        <v>21929315.650722135</v>
      </c>
      <c r="K24" s="29">
        <f>'P or L'!Q30</f>
        <v>30814467.805416699</v>
      </c>
      <c r="L24" s="30">
        <f>'P or L'!R30</f>
        <v>40532772.461946875</v>
      </c>
    </row>
    <row r="25" spans="4:12" ht="15.75" customHeight="1"/>
    <row r="26" spans="4:12" ht="15.75" customHeight="1"/>
    <row r="27" spans="4:12" ht="15.75" customHeight="1">
      <c r="D27" s="31" t="s">
        <v>54</v>
      </c>
      <c r="E27" s="32" t="s">
        <v>46</v>
      </c>
      <c r="F27" s="32" t="s">
        <v>47</v>
      </c>
      <c r="G27" s="32" t="s">
        <v>48</v>
      </c>
      <c r="H27" s="32" t="s">
        <v>49</v>
      </c>
      <c r="I27" s="32" t="s">
        <v>50</v>
      </c>
      <c r="J27" s="32" t="s">
        <v>51</v>
      </c>
      <c r="K27" s="32" t="s">
        <v>52</v>
      </c>
      <c r="L27" s="33" t="s">
        <v>53</v>
      </c>
    </row>
    <row r="28" spans="4:12" ht="15.75" customHeight="1">
      <c r="D28" s="34" t="str">
        <f>BS!D23</f>
        <v>Total Non-current Assets</v>
      </c>
      <c r="E28" s="25"/>
      <c r="F28" s="25">
        <f>BS!L23</f>
        <v>23706144</v>
      </c>
      <c r="G28" s="25">
        <f>BS!M23</f>
        <v>25658570</v>
      </c>
      <c r="H28" s="25">
        <f>BS!N23</f>
        <v>31424875</v>
      </c>
      <c r="I28" s="25">
        <f>BS!O23</f>
        <v>31737275.799243718</v>
      </c>
      <c r="J28" s="25">
        <f>BS!P23</f>
        <v>32097292.861512225</v>
      </c>
      <c r="K28" s="25">
        <f>BS!Q23</f>
        <v>32525297.207143512</v>
      </c>
      <c r="L28" s="35">
        <f>BS!R23</f>
        <v>33050629.041400883</v>
      </c>
    </row>
    <row r="29" spans="4:12" ht="15.75" customHeight="1">
      <c r="D29" s="36" t="str">
        <f>BS!D30</f>
        <v>Total Current Assets</v>
      </c>
      <c r="E29" s="25"/>
      <c r="F29" s="25">
        <f>BS!L30</f>
        <v>38284982</v>
      </c>
      <c r="G29" s="25">
        <f>BS!M30</f>
        <v>47834910</v>
      </c>
      <c r="H29" s="25">
        <f>BS!N30</f>
        <v>48862064</v>
      </c>
      <c r="I29" s="25">
        <f>BS!O30</f>
        <v>80952232.50398764</v>
      </c>
      <c r="J29" s="25">
        <f>BS!P30</f>
        <v>110071099.86046308</v>
      </c>
      <c r="K29" s="25">
        <f>BS!Q30</f>
        <v>143494837.60720664</v>
      </c>
      <c r="L29" s="35">
        <f>BS!R30</f>
        <v>178805399.25900832</v>
      </c>
    </row>
    <row r="30" spans="4:12" ht="15.75" customHeight="1">
      <c r="D30" s="34" t="str">
        <f>BS!D31</f>
        <v>Total Assets</v>
      </c>
      <c r="E30" s="25"/>
      <c r="F30" s="25">
        <f>BS!L31</f>
        <v>61991126</v>
      </c>
      <c r="G30" s="25">
        <f>BS!M31</f>
        <v>73493480</v>
      </c>
      <c r="H30" s="25">
        <f>BS!N31</f>
        <v>80286939</v>
      </c>
      <c r="I30" s="25">
        <f>BS!O31</f>
        <v>112689508.30323136</v>
      </c>
      <c r="J30" s="25">
        <f>BS!P31</f>
        <v>142168392.7219753</v>
      </c>
      <c r="K30" s="25">
        <f>BS!Q31</f>
        <v>176020134.81435016</v>
      </c>
      <c r="L30" s="35">
        <f>BS!R31</f>
        <v>211856028.3004092</v>
      </c>
    </row>
    <row r="31" spans="4:12" ht="15.75" customHeight="1">
      <c r="D31" s="34" t="str">
        <f>BS!D46</f>
        <v>Total Non-current Liabilities</v>
      </c>
      <c r="E31" s="25"/>
      <c r="F31" s="25">
        <f>BS!L46</f>
        <v>21899764</v>
      </c>
      <c r="G31" s="25">
        <f>BS!M46</f>
        <v>21363092</v>
      </c>
      <c r="H31" s="25">
        <f>BS!N46</f>
        <v>19474701</v>
      </c>
      <c r="I31" s="25">
        <f>BS!O46</f>
        <v>20610285</v>
      </c>
      <c r="J31" s="25">
        <f>BS!P46</f>
        <v>19343704.666666664</v>
      </c>
      <c r="K31" s="25">
        <f>BS!Q46</f>
        <v>18676696.22222222</v>
      </c>
      <c r="L31" s="35">
        <f>BS!R46</f>
        <v>18410694.629629627</v>
      </c>
    </row>
    <row r="32" spans="4:12" ht="15.75" customHeight="1">
      <c r="D32" s="34" t="str">
        <f>BS!D53</f>
        <v>Total current Liabilities</v>
      </c>
      <c r="E32" s="25"/>
      <c r="F32" s="25">
        <f>BS!L53</f>
        <v>20797634</v>
      </c>
      <c r="G32" s="25">
        <f>BS!M53</f>
        <v>29784496</v>
      </c>
      <c r="H32" s="25">
        <f>BS!N53</f>
        <v>30615411</v>
      </c>
      <c r="I32" s="25">
        <f>BS!O53</f>
        <v>51601410.175175793</v>
      </c>
      <c r="J32" s="25">
        <f>BS!P53</f>
        <v>66960050.47434254</v>
      </c>
      <c r="K32" s="25">
        <f>BS!Q53</f>
        <v>79857660.876941696</v>
      </c>
      <c r="L32" s="35">
        <f>BS!R53</f>
        <v>87519514.123225212</v>
      </c>
    </row>
    <row r="33" spans="4:12" ht="15.75" customHeight="1">
      <c r="D33" s="34" t="str">
        <f>BS!D54</f>
        <v>Total Liabilities</v>
      </c>
      <c r="E33" s="25"/>
      <c r="F33" s="25">
        <f>BS!L54</f>
        <v>42697398</v>
      </c>
      <c r="G33" s="25">
        <f>BS!M54</f>
        <v>51147588</v>
      </c>
      <c r="H33" s="25">
        <f>BS!N54</f>
        <v>50090112</v>
      </c>
      <c r="I33" s="25">
        <f>BS!O54</f>
        <v>72211695.175175786</v>
      </c>
      <c r="J33" s="25">
        <f>BS!P54</f>
        <v>86303755.141009212</v>
      </c>
      <c r="K33" s="25">
        <f>BS!Q54</f>
        <v>98534357.09916392</v>
      </c>
      <c r="L33" s="35">
        <f>BS!R54</f>
        <v>105930208.75285484</v>
      </c>
    </row>
    <row r="34" spans="4:12" ht="15.75" customHeight="1">
      <c r="D34" s="37" t="str">
        <f>BS!D38</f>
        <v>Total Equity</v>
      </c>
      <c r="E34" s="38"/>
      <c r="F34" s="38">
        <f>BS!L38</f>
        <v>19293728</v>
      </c>
      <c r="G34" s="38">
        <f>BS!M38</f>
        <v>22345892</v>
      </c>
      <c r="H34" s="38">
        <f>BS!N38</f>
        <v>30196827</v>
      </c>
      <c r="I34" s="38">
        <f>BS!O38</f>
        <v>40477813.128055558</v>
      </c>
      <c r="J34" s="38">
        <f>BS!P38</f>
        <v>55864637.580966085</v>
      </c>
      <c r="K34" s="38">
        <f>BS!Q38</f>
        <v>77485777.715186223</v>
      </c>
      <c r="L34" s="39">
        <f>BS!R38</f>
        <v>105925819.54755436</v>
      </c>
    </row>
    <row r="35" spans="4:12" ht="15.75" customHeight="1"/>
    <row r="36" spans="4:12" ht="15.75" customHeight="1"/>
    <row r="37" spans="4:12" ht="15.75" customHeight="1"/>
    <row r="38" spans="4:12" ht="15.75" customHeight="1"/>
    <row r="39" spans="4:12" ht="15.75" customHeight="1"/>
    <row r="40" spans="4:12" ht="15.75" customHeight="1"/>
    <row r="41" spans="4:12" ht="15.75" customHeight="1"/>
    <row r="42" spans="4:12" ht="15.75" customHeight="1"/>
    <row r="43" spans="4:12" ht="15.75" customHeight="1"/>
    <row r="44" spans="4:12" ht="15.75" customHeight="1"/>
    <row r="45" spans="4:12" ht="15.75" customHeight="1"/>
    <row r="46" spans="4:12" ht="15.75" customHeight="1"/>
    <row r="47" spans="4:12" ht="15.75" customHeight="1"/>
    <row r="48" spans="4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fitToHeight="0" orientation="landscape"/>
  <headerFooter>
    <oddFooter>&amp;LNascon Allied Limited&amp;CPage&amp;P of &amp;RPrinted on &amp;D &amp;T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sparklines>
            <x14:sparkline>
              <xm:f>summary!F34:L34</xm:f>
              <xm:sqref>E34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summary!F33:L33</xm:f>
              <xm:sqref>E33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summary!F32:L32</xm:f>
              <xm:sqref>E32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summary!F31:L31</xm:f>
              <xm:sqref>E31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summary!F30:L30</xm:f>
              <xm:sqref>E30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summary!F29:L29</xm:f>
              <xm:sqref>E29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summary!F28:L28</xm:f>
              <xm:sqref>E28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summary!F24:L24</xm:f>
              <xm:sqref>E24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summary!F23:L23</xm:f>
              <xm:sqref>E23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summary!F22:L22</xm:f>
              <xm:sqref>E22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summary!F21:L21</xm:f>
              <xm:sqref>E21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summary!F20:L20</xm:f>
              <xm:sqref>E20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summary!F19:L19</xm:f>
              <xm:sqref>E19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summary!F18:L18</xm:f>
              <xm:sqref>E18</xm:sqref>
            </x14:sparkline>
          </x14:sparklines>
        </x14:sparklineGroup>
        <x14:sparklineGroup type="column" displayEmptyCellsAs="gap">
          <x14:colorSeries rgb="FF376092"/>
          <x14:sparklines>
            <x14:sparkline>
              <xm:f>summary!F17:L17</xm:f>
              <xm:sqref>E17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  <pageSetUpPr fitToPage="1"/>
  </sheetPr>
  <dimension ref="A1:AL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46.125" customWidth="1"/>
    <col min="5" max="7" width="8.625" customWidth="1"/>
    <col min="8" max="9" width="2.125" customWidth="1"/>
    <col min="10" max="10" width="11.875" customWidth="1"/>
    <col min="11" max="14" width="14.625" customWidth="1"/>
    <col min="15" max="18" width="13.25" customWidth="1"/>
    <col min="19" max="20" width="9.75" customWidth="1"/>
    <col min="21" max="38" width="8.625" customWidth="1"/>
  </cols>
  <sheetData>
    <row r="1" spans="1:38" ht="7.5" customHeight="1">
      <c r="J1" s="40"/>
      <c r="K1" s="40"/>
      <c r="L1" s="40"/>
      <c r="M1" s="40"/>
      <c r="N1" s="40"/>
      <c r="O1" s="40"/>
      <c r="P1" s="40"/>
      <c r="Q1" s="40"/>
      <c r="R1" s="40"/>
    </row>
    <row r="2" spans="1:38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41"/>
      <c r="K2" s="41"/>
      <c r="L2" s="41"/>
      <c r="M2" s="41"/>
      <c r="N2" s="41"/>
      <c r="O2" s="41"/>
      <c r="P2" s="41"/>
      <c r="Q2" s="41"/>
      <c r="R2" s="41"/>
      <c r="S2" s="1"/>
    </row>
    <row r="3" spans="1:38" ht="18">
      <c r="A3" s="1"/>
      <c r="B3" s="1"/>
      <c r="C3" s="3" t="s">
        <v>55</v>
      </c>
      <c r="D3" s="1"/>
      <c r="E3" s="1"/>
      <c r="F3" s="1"/>
      <c r="G3" s="1"/>
      <c r="H3" s="1"/>
      <c r="I3" s="1"/>
      <c r="J3" s="41"/>
      <c r="K3" s="41"/>
      <c r="L3" s="41"/>
      <c r="M3" s="41"/>
      <c r="N3" s="41"/>
      <c r="O3" s="41"/>
      <c r="P3" s="41"/>
      <c r="Q3" s="41"/>
      <c r="R3" s="41"/>
      <c r="S3" s="1"/>
    </row>
    <row r="4" spans="1:38" ht="15" customHeight="1">
      <c r="A4" s="1"/>
      <c r="B4" s="1"/>
      <c r="C4" s="1"/>
      <c r="D4" s="1"/>
      <c r="E4" s="1"/>
      <c r="F4" s="1"/>
      <c r="G4" s="1"/>
      <c r="H4" s="1"/>
      <c r="I4" s="1"/>
      <c r="J4" s="41"/>
      <c r="K4" s="41"/>
      <c r="L4" s="41"/>
      <c r="M4" s="41"/>
      <c r="N4" s="41"/>
      <c r="O4" s="41"/>
      <c r="P4" s="41"/>
      <c r="Q4" s="41"/>
      <c r="R4" s="41"/>
      <c r="S4" s="1"/>
    </row>
    <row r="5" spans="1:38">
      <c r="D5" s="42" t="str">
        <f>"Balance sheet check: " &amp;BSCheck</f>
        <v>Balance sheet check: OK</v>
      </c>
      <c r="I5" s="43" t="s">
        <v>56</v>
      </c>
      <c r="J5" s="44"/>
      <c r="K5" s="44">
        <f t="shared" ref="K5:R5" si="0">J6+1</f>
        <v>44562</v>
      </c>
      <c r="L5" s="44">
        <f t="shared" si="0"/>
        <v>44927</v>
      </c>
      <c r="M5" s="44">
        <f t="shared" si="0"/>
        <v>45292</v>
      </c>
      <c r="N5" s="44">
        <f t="shared" si="0"/>
        <v>45658</v>
      </c>
      <c r="O5" s="44">
        <f t="shared" si="0"/>
        <v>46023</v>
      </c>
      <c r="P5" s="44">
        <f t="shared" si="0"/>
        <v>46388</v>
      </c>
      <c r="Q5" s="44">
        <f t="shared" si="0"/>
        <v>46753</v>
      </c>
      <c r="R5" s="44">
        <f t="shared" si="0"/>
        <v>47119</v>
      </c>
      <c r="S5" s="9"/>
      <c r="T5" s="9"/>
    </row>
    <row r="6" spans="1:38">
      <c r="D6" s="42" t="str">
        <f t="array" ref="D6">livescenario</f>
        <v>Live Scenario: Base case</v>
      </c>
      <c r="I6" s="43" t="s">
        <v>57</v>
      </c>
      <c r="J6" s="45">
        <f>Guide!E14-1</f>
        <v>44561</v>
      </c>
      <c r="K6" s="44">
        <f t="shared" ref="K6:R6" si="1">EOMONTH(K5,11)</f>
        <v>44926</v>
      </c>
      <c r="L6" s="44">
        <f t="shared" si="1"/>
        <v>45291</v>
      </c>
      <c r="M6" s="44">
        <f t="shared" si="1"/>
        <v>45657</v>
      </c>
      <c r="N6" s="44">
        <f t="shared" si="1"/>
        <v>46022</v>
      </c>
      <c r="O6" s="44">
        <f t="shared" si="1"/>
        <v>46387</v>
      </c>
      <c r="P6" s="44">
        <f t="shared" si="1"/>
        <v>46752</v>
      </c>
      <c r="Q6" s="44">
        <f t="shared" si="1"/>
        <v>47118</v>
      </c>
      <c r="R6" s="44">
        <f t="shared" si="1"/>
        <v>47483</v>
      </c>
      <c r="S6" s="9"/>
      <c r="T6" s="9"/>
    </row>
    <row r="7" spans="1:38" ht="6" customHeight="1">
      <c r="J7" s="40"/>
      <c r="K7" s="40"/>
      <c r="L7" s="40"/>
      <c r="M7" s="40"/>
      <c r="N7" s="40"/>
      <c r="O7" s="40"/>
      <c r="P7" s="40"/>
      <c r="Q7" s="40"/>
      <c r="R7" s="40"/>
    </row>
    <row r="8" spans="1:38" ht="14.25">
      <c r="A8" s="18"/>
      <c r="B8" s="18"/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18"/>
      <c r="I8" s="18"/>
      <c r="J8" s="46"/>
      <c r="K8" s="46" t="s">
        <v>62</v>
      </c>
      <c r="L8" s="46" t="s">
        <v>62</v>
      </c>
      <c r="M8" s="46" t="s">
        <v>62</v>
      </c>
      <c r="N8" s="46" t="s">
        <v>62</v>
      </c>
      <c r="O8" s="46" t="s">
        <v>63</v>
      </c>
      <c r="P8" s="46" t="s">
        <v>63</v>
      </c>
      <c r="Q8" s="46" t="s">
        <v>63</v>
      </c>
      <c r="R8" s="46" t="s">
        <v>63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spans="1:38" ht="20.25">
      <c r="B9" s="47" t="s">
        <v>55</v>
      </c>
      <c r="C9" s="47"/>
      <c r="D9" s="47"/>
      <c r="E9" s="47"/>
      <c r="F9" s="47"/>
      <c r="G9" s="47"/>
      <c r="H9" s="47"/>
      <c r="I9" s="47"/>
      <c r="J9" s="48"/>
      <c r="K9" s="48"/>
      <c r="L9" s="48"/>
      <c r="M9" s="48"/>
      <c r="N9" s="48"/>
      <c r="O9" s="48"/>
      <c r="P9" s="48"/>
      <c r="Q9" s="48"/>
      <c r="R9" s="48"/>
    </row>
    <row r="10" spans="1:38" ht="18">
      <c r="C10" s="49" t="s">
        <v>64</v>
      </c>
      <c r="D10" s="49"/>
      <c r="E10" s="49"/>
      <c r="F10" s="49"/>
      <c r="G10" s="49"/>
      <c r="H10" s="49"/>
      <c r="I10" s="49"/>
      <c r="J10" s="50"/>
      <c r="K10" s="50"/>
      <c r="L10" s="50"/>
      <c r="M10" s="50"/>
      <c r="N10" s="50"/>
      <c r="O10" s="50"/>
      <c r="P10" s="50"/>
      <c r="Q10" s="50"/>
      <c r="R10" s="50"/>
    </row>
    <row r="11" spans="1:38" ht="14.25">
      <c r="D11" s="6" t="s">
        <v>65</v>
      </c>
      <c r="E11" s="25" t="str">
        <f t="shared" ref="E11:E24" si="2">currency</f>
        <v>(₦'000)</v>
      </c>
      <c r="J11" s="40"/>
      <c r="K11" s="51">
        <v>40634143</v>
      </c>
      <c r="L11" s="52">
        <v>53050354</v>
      </c>
      <c r="M11" s="52">
        <v>84189000</v>
      </c>
      <c r="N11" s="52">
        <v>119061254</v>
      </c>
      <c r="O11" s="40"/>
      <c r="P11" s="40"/>
      <c r="Q11" s="40"/>
      <c r="R11" s="40"/>
    </row>
    <row r="12" spans="1:38" ht="14.25">
      <c r="D12" s="6" t="s">
        <v>66</v>
      </c>
      <c r="E12" s="25" t="str">
        <f t="shared" si="2"/>
        <v>(₦'000)</v>
      </c>
      <c r="J12" s="40"/>
      <c r="K12" s="40"/>
      <c r="L12" s="53">
        <v>31979445</v>
      </c>
      <c r="M12" s="53">
        <v>49084616</v>
      </c>
      <c r="N12" s="53">
        <v>69835197</v>
      </c>
      <c r="O12" s="40"/>
      <c r="P12" s="40"/>
      <c r="Q12" s="40"/>
      <c r="R12" s="40"/>
    </row>
    <row r="13" spans="1:38">
      <c r="A13" s="19"/>
      <c r="B13" s="19"/>
      <c r="C13" s="19"/>
      <c r="D13" s="19" t="s">
        <v>67</v>
      </c>
      <c r="E13" s="19" t="str">
        <f t="shared" si="2"/>
        <v>(₦'000)</v>
      </c>
      <c r="F13" s="19"/>
      <c r="G13" s="19"/>
      <c r="H13" s="19"/>
      <c r="I13" s="19"/>
      <c r="J13" s="54"/>
      <c r="K13" s="54"/>
      <c r="L13" s="55">
        <f t="shared" ref="L13:N13" si="3">L11-L12</f>
        <v>21070909</v>
      </c>
      <c r="M13" s="55">
        <f t="shared" si="3"/>
        <v>35104384</v>
      </c>
      <c r="N13" s="55">
        <f t="shared" si="3"/>
        <v>49226057</v>
      </c>
      <c r="O13" s="54"/>
      <c r="P13" s="54"/>
      <c r="Q13" s="54"/>
      <c r="R13" s="54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ht="14.25">
      <c r="D14" s="6" t="s">
        <v>68</v>
      </c>
      <c r="E14" s="25" t="str">
        <f t="shared" si="2"/>
        <v>(₦'000)</v>
      </c>
      <c r="J14" s="40"/>
      <c r="K14" s="40"/>
      <c r="L14" s="52">
        <v>497066</v>
      </c>
      <c r="M14" s="52">
        <v>611871</v>
      </c>
      <c r="N14" s="52">
        <v>887547</v>
      </c>
      <c r="O14" s="40"/>
      <c r="P14" s="40"/>
      <c r="Q14" s="40"/>
      <c r="R14" s="40"/>
    </row>
    <row r="15" spans="1:38" ht="14.25">
      <c r="D15" s="6" t="s">
        <v>69</v>
      </c>
      <c r="E15" s="25" t="str">
        <f t="shared" si="2"/>
        <v>(₦'000)</v>
      </c>
      <c r="J15" s="40"/>
      <c r="K15" s="40"/>
      <c r="L15" s="53">
        <v>6532831</v>
      </c>
      <c r="M15" s="53">
        <v>8712125</v>
      </c>
      <c r="N15" s="53">
        <v>12396055</v>
      </c>
      <c r="O15" s="40"/>
      <c r="P15" s="40"/>
      <c r="Q15" s="40"/>
      <c r="R15" s="40"/>
    </row>
    <row r="16" spans="1:38">
      <c r="D16" s="6" t="s">
        <v>70</v>
      </c>
      <c r="E16" s="25" t="str">
        <f t="shared" si="2"/>
        <v>(₦'000)</v>
      </c>
      <c r="F16" s="19"/>
      <c r="G16" s="19"/>
      <c r="H16" s="19"/>
      <c r="I16" s="19"/>
      <c r="J16" s="54"/>
      <c r="K16" s="54"/>
      <c r="L16" s="53">
        <v>227781</v>
      </c>
      <c r="M16" s="53">
        <v>301440</v>
      </c>
      <c r="N16" s="53">
        <v>133069</v>
      </c>
      <c r="O16" s="54"/>
      <c r="P16" s="54"/>
      <c r="Q16" s="54"/>
      <c r="R16" s="54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1:38" ht="14.25">
      <c r="D17" s="6" t="s">
        <v>71</v>
      </c>
      <c r="E17" s="25" t="str">
        <f t="shared" si="2"/>
        <v>(₦'000)</v>
      </c>
      <c r="J17" s="40"/>
      <c r="K17" s="40"/>
      <c r="L17" s="53">
        <v>1261246</v>
      </c>
      <c r="M17" s="53">
        <v>5448891</v>
      </c>
      <c r="N17" s="53">
        <v>6012067</v>
      </c>
      <c r="O17" s="40"/>
      <c r="P17" s="40"/>
      <c r="Q17" s="40"/>
      <c r="R17" s="40"/>
    </row>
    <row r="18" spans="1:38" ht="14.25">
      <c r="D18" s="6" t="s">
        <v>72</v>
      </c>
      <c r="E18" s="25" t="str">
        <f t="shared" si="2"/>
        <v>(₦'000)</v>
      </c>
      <c r="J18" s="40"/>
      <c r="K18" s="40"/>
      <c r="L18" s="53">
        <v>5549848</v>
      </c>
      <c r="M18" s="53">
        <v>8119539</v>
      </c>
      <c r="N18" s="53">
        <v>9623801</v>
      </c>
      <c r="O18" s="40"/>
      <c r="P18" s="40"/>
      <c r="Q18" s="40"/>
      <c r="R18" s="40"/>
    </row>
    <row r="19" spans="1:38">
      <c r="A19" s="19"/>
      <c r="B19" s="19"/>
      <c r="C19" s="19"/>
      <c r="D19" s="19" t="s">
        <v>73</v>
      </c>
      <c r="E19" s="19" t="str">
        <f t="shared" si="2"/>
        <v>(₦'000)</v>
      </c>
      <c r="F19" s="19"/>
      <c r="G19" s="19"/>
      <c r="H19" s="19"/>
      <c r="I19" s="19"/>
      <c r="J19" s="54"/>
      <c r="K19" s="54"/>
      <c r="L19" s="55">
        <f t="shared" ref="L19:N19" si="4">L13+L14-L15-L16-L17-L18</f>
        <v>7996269</v>
      </c>
      <c r="M19" s="55">
        <f t="shared" si="4"/>
        <v>13134260</v>
      </c>
      <c r="N19" s="55">
        <f t="shared" si="4"/>
        <v>21948612</v>
      </c>
      <c r="O19" s="54"/>
      <c r="P19" s="54"/>
      <c r="Q19" s="54"/>
      <c r="R19" s="54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1:38" ht="14.25">
      <c r="D20" s="56" t="s">
        <v>74</v>
      </c>
      <c r="E20" s="25" t="str">
        <f t="shared" si="2"/>
        <v>(₦'000)</v>
      </c>
      <c r="J20" s="40"/>
      <c r="K20" s="40"/>
      <c r="L20" s="53">
        <v>2101868</v>
      </c>
      <c r="M20" s="53">
        <v>5493822</v>
      </c>
      <c r="N20" s="53">
        <v>7130319</v>
      </c>
      <c r="O20" s="40"/>
      <c r="P20" s="40"/>
      <c r="Q20" s="40"/>
      <c r="R20" s="40"/>
    </row>
    <row r="21" spans="1:38" ht="15.75" customHeight="1">
      <c r="D21" s="56" t="s">
        <v>75</v>
      </c>
      <c r="E21" s="25" t="str">
        <f t="shared" si="2"/>
        <v>(₦'000)</v>
      </c>
      <c r="J21" s="40"/>
      <c r="K21" s="40"/>
      <c r="L21" s="52">
        <v>23008</v>
      </c>
      <c r="M21" s="52">
        <v>60022</v>
      </c>
      <c r="N21" s="52">
        <v>144315</v>
      </c>
      <c r="O21" s="40"/>
      <c r="P21" s="40"/>
      <c r="Q21" s="40"/>
      <c r="R21" s="40"/>
    </row>
    <row r="22" spans="1:38" ht="15.75" customHeight="1">
      <c r="A22" s="19"/>
      <c r="B22" s="19"/>
      <c r="C22" s="19"/>
      <c r="D22" s="19" t="s">
        <v>76</v>
      </c>
      <c r="E22" s="19" t="str">
        <f t="shared" si="2"/>
        <v>(₦'000)</v>
      </c>
      <c r="F22" s="19"/>
      <c r="G22" s="19"/>
      <c r="H22" s="19"/>
      <c r="I22" s="19"/>
      <c r="J22" s="54"/>
      <c r="K22" s="54"/>
      <c r="L22" s="55">
        <f t="shared" ref="L22:N22" si="5">L19-L20+L21</f>
        <v>5917409</v>
      </c>
      <c r="M22" s="55">
        <f t="shared" si="5"/>
        <v>7700460</v>
      </c>
      <c r="N22" s="55">
        <f t="shared" si="5"/>
        <v>14962608</v>
      </c>
      <c r="O22" s="54"/>
      <c r="P22" s="54"/>
      <c r="Q22" s="54"/>
      <c r="R22" s="54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1:38" ht="15.75" customHeight="1">
      <c r="D23" s="6" t="s">
        <v>77</v>
      </c>
      <c r="E23" s="25" t="str">
        <f t="shared" si="2"/>
        <v>(₦'000)</v>
      </c>
      <c r="J23" s="40"/>
      <c r="K23" s="40"/>
      <c r="L23" s="53">
        <v>2309816</v>
      </c>
      <c r="M23" s="53">
        <v>3301497</v>
      </c>
      <c r="N23" s="53">
        <v>5079032</v>
      </c>
      <c r="O23" s="40"/>
      <c r="P23" s="40"/>
      <c r="Q23" s="40"/>
      <c r="R23" s="40"/>
    </row>
    <row r="24" spans="1:38" ht="15.75" customHeight="1">
      <c r="A24" s="19"/>
      <c r="B24" s="19"/>
      <c r="C24" s="19"/>
      <c r="D24" s="19" t="s">
        <v>78</v>
      </c>
      <c r="E24" s="19" t="str">
        <f t="shared" si="2"/>
        <v>(₦'000)</v>
      </c>
      <c r="F24" s="19"/>
      <c r="G24" s="19"/>
      <c r="H24" s="19"/>
      <c r="I24" s="19"/>
      <c r="J24" s="54"/>
      <c r="K24" s="54"/>
      <c r="L24" s="57">
        <f t="shared" ref="L24:N24" si="6">L22-L23</f>
        <v>3607593</v>
      </c>
      <c r="M24" s="57">
        <f t="shared" si="6"/>
        <v>4398963</v>
      </c>
      <c r="N24" s="57">
        <f t="shared" si="6"/>
        <v>9883576</v>
      </c>
      <c r="O24" s="40"/>
      <c r="P24" s="54"/>
      <c r="Q24" s="54"/>
      <c r="R24" s="54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1:38" ht="15.75" customHeight="1">
      <c r="J25" s="40"/>
      <c r="K25" s="40"/>
      <c r="L25" s="52"/>
      <c r="M25" s="52"/>
      <c r="N25" s="52"/>
      <c r="O25" s="40"/>
      <c r="P25" s="40"/>
      <c r="Q25" s="40"/>
      <c r="R25" s="40"/>
    </row>
    <row r="26" spans="1:38" ht="15.75" customHeight="1">
      <c r="J26" s="40"/>
      <c r="K26" s="40"/>
      <c r="L26" s="52"/>
      <c r="M26" s="52"/>
      <c r="N26" s="52"/>
      <c r="O26" s="40"/>
      <c r="P26" s="40"/>
      <c r="Q26" s="40"/>
      <c r="R26" s="40"/>
    </row>
    <row r="27" spans="1:38" ht="15.75" customHeight="1">
      <c r="C27" s="49" t="s">
        <v>79</v>
      </c>
      <c r="D27" s="49"/>
      <c r="E27" s="49"/>
      <c r="F27" s="49"/>
      <c r="G27" s="49"/>
      <c r="H27" s="49"/>
      <c r="I27" s="49"/>
      <c r="J27" s="50"/>
      <c r="K27" s="50"/>
      <c r="L27" s="58"/>
      <c r="M27" s="58"/>
      <c r="N27" s="58"/>
      <c r="O27" s="50"/>
      <c r="P27" s="50"/>
      <c r="Q27" s="50"/>
      <c r="R27" s="50"/>
    </row>
    <row r="28" spans="1:38" ht="15.75" customHeight="1">
      <c r="A28" s="19"/>
      <c r="B28" s="19"/>
      <c r="C28" s="19" t="s">
        <v>80</v>
      </c>
      <c r="D28" s="19"/>
      <c r="E28" s="19"/>
      <c r="F28" s="19"/>
      <c r="G28" s="19"/>
      <c r="H28" s="19"/>
      <c r="I28" s="19"/>
      <c r="J28" s="54"/>
      <c r="K28" s="54"/>
      <c r="L28" s="59"/>
      <c r="M28" s="59"/>
      <c r="N28" s="59"/>
      <c r="O28" s="54"/>
      <c r="P28" s="54"/>
      <c r="Q28" s="54"/>
      <c r="R28" s="54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1:38" ht="15.75" customHeight="1">
      <c r="A29" s="19"/>
      <c r="B29" s="19"/>
      <c r="C29" s="19"/>
      <c r="D29" s="19" t="s">
        <v>81</v>
      </c>
      <c r="E29" s="19"/>
      <c r="F29" s="19"/>
      <c r="G29" s="19"/>
      <c r="H29" s="19"/>
      <c r="I29" s="19"/>
      <c r="J29" s="54"/>
      <c r="K29" s="54"/>
      <c r="L29" s="59"/>
      <c r="M29" s="59"/>
      <c r="N29" s="59"/>
      <c r="O29" s="54"/>
      <c r="P29" s="54"/>
      <c r="Q29" s="54"/>
      <c r="R29" s="54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1:38" ht="15.75" customHeight="1">
      <c r="D30" s="6" t="s">
        <v>82</v>
      </c>
      <c r="E30" s="25" t="str">
        <f t="shared" ref="E30:E35" si="7">currency</f>
        <v>(₦'000)</v>
      </c>
      <c r="J30" s="40"/>
      <c r="K30" s="40"/>
      <c r="L30" s="52">
        <v>22672162</v>
      </c>
      <c r="M30" s="53">
        <v>25125748</v>
      </c>
      <c r="N30" s="52">
        <v>30937846</v>
      </c>
      <c r="O30" s="40"/>
      <c r="P30" s="40"/>
      <c r="Q30" s="40"/>
      <c r="R30" s="40"/>
    </row>
    <row r="31" spans="1:38" ht="15.75" customHeight="1">
      <c r="D31" s="6" t="s">
        <v>83</v>
      </c>
      <c r="E31" s="25" t="str">
        <f t="shared" si="7"/>
        <v>(₦'000)</v>
      </c>
      <c r="J31" s="40"/>
      <c r="K31" s="40"/>
      <c r="L31" s="52">
        <v>315050</v>
      </c>
      <c r="M31" s="53">
        <v>0</v>
      </c>
      <c r="N31" s="53">
        <v>0</v>
      </c>
      <c r="O31" s="40"/>
      <c r="P31" s="40"/>
      <c r="Q31" s="40"/>
      <c r="R31" s="40"/>
    </row>
    <row r="32" spans="1:38" ht="15.75" customHeight="1">
      <c r="D32" s="6" t="s">
        <v>84</v>
      </c>
      <c r="E32" s="25" t="str">
        <f t="shared" si="7"/>
        <v>(₦'000)</v>
      </c>
      <c r="J32" s="40"/>
      <c r="K32" s="40"/>
      <c r="L32" s="52">
        <v>25577</v>
      </c>
      <c r="M32" s="52">
        <v>65471</v>
      </c>
      <c r="N32" s="52">
        <v>238235</v>
      </c>
      <c r="O32" s="40"/>
      <c r="P32" s="40"/>
      <c r="Q32" s="40"/>
      <c r="R32" s="40"/>
    </row>
    <row r="33" spans="1:38" ht="15.75" customHeight="1">
      <c r="D33" s="6" t="s">
        <v>85</v>
      </c>
      <c r="E33" s="25" t="str">
        <f t="shared" si="7"/>
        <v>(₦'000)</v>
      </c>
      <c r="J33" s="40"/>
      <c r="K33" s="40"/>
      <c r="L33" s="52">
        <v>7730</v>
      </c>
      <c r="M33" s="52">
        <v>9100</v>
      </c>
      <c r="N33" s="52">
        <v>12360</v>
      </c>
      <c r="O33" s="40"/>
      <c r="P33" s="40"/>
      <c r="Q33" s="40"/>
      <c r="R33" s="40"/>
    </row>
    <row r="34" spans="1:38" ht="15.75" customHeight="1">
      <c r="D34" s="6" t="s">
        <v>86</v>
      </c>
      <c r="E34" s="25" t="str">
        <f t="shared" si="7"/>
        <v>(₦'000)</v>
      </c>
      <c r="J34" s="40"/>
      <c r="K34" s="40"/>
      <c r="L34" s="52">
        <v>16183</v>
      </c>
      <c r="M34" s="52">
        <v>17915</v>
      </c>
      <c r="N34" s="52">
        <v>20498</v>
      </c>
      <c r="O34" s="40"/>
      <c r="P34" s="40"/>
      <c r="Q34" s="40"/>
      <c r="R34" s="40"/>
    </row>
    <row r="35" spans="1:38" ht="15.75" customHeight="1">
      <c r="D35" s="6" t="s">
        <v>87</v>
      </c>
      <c r="E35" s="25" t="str">
        <f t="shared" si="7"/>
        <v>(₦'000)</v>
      </c>
      <c r="J35" s="40"/>
      <c r="K35" s="40"/>
      <c r="L35" s="52">
        <v>184432</v>
      </c>
      <c r="M35" s="52">
        <v>198106</v>
      </c>
      <c r="N35" s="52">
        <v>215936</v>
      </c>
      <c r="O35" s="40"/>
      <c r="P35" s="40"/>
      <c r="Q35" s="40"/>
      <c r="R35" s="40"/>
    </row>
    <row r="36" spans="1:38" ht="15.75" customHeight="1">
      <c r="A36" s="19"/>
      <c r="B36" s="19"/>
      <c r="C36" s="19"/>
      <c r="D36" s="19" t="s">
        <v>88</v>
      </c>
      <c r="E36" s="19"/>
      <c r="F36" s="19"/>
      <c r="G36" s="19"/>
      <c r="H36" s="19"/>
      <c r="I36" s="19"/>
      <c r="J36" s="54"/>
      <c r="K36" s="54"/>
      <c r="L36" s="55">
        <f t="shared" ref="L36:N36" si="8">SUM(L30:L35)</f>
        <v>23221134</v>
      </c>
      <c r="M36" s="55">
        <f t="shared" si="8"/>
        <v>25416340</v>
      </c>
      <c r="N36" s="55">
        <f t="shared" si="8"/>
        <v>31424875</v>
      </c>
      <c r="O36" s="54"/>
      <c r="P36" s="54"/>
      <c r="Q36" s="54"/>
      <c r="R36" s="54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1:38" ht="15.75" customHeight="1">
      <c r="D37" s="19" t="s">
        <v>89</v>
      </c>
      <c r="J37" s="40"/>
      <c r="K37" s="40"/>
      <c r="L37" s="52"/>
      <c r="M37" s="52"/>
      <c r="N37" s="52"/>
      <c r="O37" s="40"/>
      <c r="P37" s="40"/>
      <c r="Q37" s="40"/>
      <c r="R37" s="40"/>
    </row>
    <row r="38" spans="1:38" ht="15.75" customHeight="1">
      <c r="D38" s="6" t="s">
        <v>90</v>
      </c>
      <c r="J38" s="40"/>
      <c r="K38" s="40"/>
      <c r="L38" s="52">
        <v>16356949</v>
      </c>
      <c r="M38" s="53">
        <v>24182294</v>
      </c>
      <c r="N38" s="52">
        <v>26547162</v>
      </c>
      <c r="O38" s="40"/>
      <c r="P38" s="40"/>
      <c r="Q38" s="40"/>
      <c r="R38" s="40"/>
    </row>
    <row r="39" spans="1:38" ht="15.75" customHeight="1">
      <c r="D39" s="6" t="s">
        <v>91</v>
      </c>
      <c r="J39" s="40"/>
      <c r="K39" s="40"/>
      <c r="L39" s="52">
        <v>485010</v>
      </c>
      <c r="M39" s="53">
        <v>242230</v>
      </c>
      <c r="N39" s="53">
        <v>0</v>
      </c>
      <c r="O39" s="40"/>
      <c r="P39" s="40"/>
      <c r="Q39" s="40"/>
      <c r="R39" s="40"/>
    </row>
    <row r="40" spans="1:38" ht="15.75" customHeight="1">
      <c r="D40" s="6" t="s">
        <v>92</v>
      </c>
      <c r="J40" s="40"/>
      <c r="K40" s="40"/>
      <c r="L40" s="52">
        <v>5887827</v>
      </c>
      <c r="M40" s="53">
        <v>6208215</v>
      </c>
      <c r="N40" s="52">
        <v>11068227</v>
      </c>
      <c r="O40" s="40"/>
      <c r="P40" s="40"/>
      <c r="Q40" s="40"/>
      <c r="R40" s="40"/>
    </row>
    <row r="41" spans="1:38" ht="15.75" customHeight="1">
      <c r="D41" s="6" t="s">
        <v>93</v>
      </c>
      <c r="J41" s="40"/>
      <c r="K41" s="40"/>
      <c r="L41" s="52">
        <v>5253563</v>
      </c>
      <c r="M41" s="53">
        <v>12513033</v>
      </c>
      <c r="N41" s="53">
        <v>6535857</v>
      </c>
      <c r="O41" s="40"/>
      <c r="P41" s="40"/>
      <c r="Q41" s="40"/>
      <c r="R41" s="40"/>
    </row>
    <row r="42" spans="1:38" ht="15.75" customHeight="1">
      <c r="D42" s="6" t="s">
        <v>94</v>
      </c>
      <c r="J42" s="40"/>
      <c r="K42" s="40"/>
      <c r="L42" s="52">
        <v>10786643</v>
      </c>
      <c r="M42" s="53">
        <v>4931368</v>
      </c>
      <c r="N42" s="53">
        <v>4710818</v>
      </c>
      <c r="O42" s="40"/>
      <c r="P42" s="40"/>
      <c r="Q42" s="40"/>
      <c r="R42" s="40"/>
    </row>
    <row r="43" spans="1:38" ht="15.75" customHeight="1">
      <c r="A43" s="19"/>
      <c r="B43" s="19"/>
      <c r="C43" s="19"/>
      <c r="D43" s="19" t="s">
        <v>95</v>
      </c>
      <c r="E43" s="19"/>
      <c r="F43" s="19"/>
      <c r="G43" s="19"/>
      <c r="H43" s="19"/>
      <c r="I43" s="19"/>
      <c r="J43" s="54"/>
      <c r="K43" s="54"/>
      <c r="L43" s="55">
        <f t="shared" ref="L43:N43" si="9">SUM(L38:L42)</f>
        <v>38769992</v>
      </c>
      <c r="M43" s="55">
        <f t="shared" si="9"/>
        <v>48077140</v>
      </c>
      <c r="N43" s="55">
        <f t="shared" si="9"/>
        <v>48862064</v>
      </c>
      <c r="O43" s="54"/>
      <c r="P43" s="54"/>
      <c r="Q43" s="54"/>
      <c r="R43" s="54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1:38" ht="15.75" customHeight="1">
      <c r="A44" s="19"/>
      <c r="B44" s="19"/>
      <c r="C44" s="19"/>
      <c r="D44" s="19" t="s">
        <v>96</v>
      </c>
      <c r="E44" s="19"/>
      <c r="F44" s="19"/>
      <c r="G44" s="19"/>
      <c r="H44" s="19"/>
      <c r="I44" s="19"/>
      <c r="J44" s="54"/>
      <c r="K44" s="54"/>
      <c r="L44" s="57">
        <f t="shared" ref="L44:N44" si="10">L43+L36</f>
        <v>61991126</v>
      </c>
      <c r="M44" s="57">
        <f t="shared" si="10"/>
        <v>73493480</v>
      </c>
      <c r="N44" s="57">
        <f t="shared" si="10"/>
        <v>80286939</v>
      </c>
      <c r="O44" s="54"/>
      <c r="P44" s="54"/>
      <c r="Q44" s="54"/>
      <c r="R44" s="54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1:38" ht="15.75" customHeight="1">
      <c r="J45" s="40"/>
      <c r="K45" s="40"/>
      <c r="L45" s="52"/>
      <c r="M45" s="52"/>
      <c r="N45" s="52"/>
      <c r="O45" s="40"/>
      <c r="P45" s="40"/>
      <c r="Q45" s="40"/>
      <c r="R45" s="40"/>
    </row>
    <row r="46" spans="1:38" ht="15.75" customHeight="1">
      <c r="A46" s="19"/>
      <c r="B46" s="19"/>
      <c r="C46" s="19"/>
      <c r="D46" s="19" t="s">
        <v>97</v>
      </c>
      <c r="E46" s="19"/>
      <c r="F46" s="19"/>
      <c r="G46" s="19"/>
      <c r="H46" s="19"/>
      <c r="I46" s="19"/>
      <c r="J46" s="54"/>
      <c r="K46" s="54"/>
      <c r="L46" s="59"/>
      <c r="M46" s="59"/>
      <c r="N46" s="59"/>
      <c r="O46" s="54"/>
      <c r="P46" s="54"/>
      <c r="Q46" s="54"/>
      <c r="R46" s="54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38" ht="15.75" customHeight="1">
      <c r="D47" s="6" t="s">
        <v>98</v>
      </c>
      <c r="J47" s="40"/>
      <c r="K47" s="40"/>
      <c r="L47" s="52">
        <v>1147498</v>
      </c>
      <c r="M47" s="52">
        <v>1147498</v>
      </c>
      <c r="N47" s="53">
        <v>1200000</v>
      </c>
      <c r="O47" s="40"/>
      <c r="P47" s="40"/>
      <c r="Q47" s="40"/>
      <c r="R47" s="40"/>
    </row>
    <row r="48" spans="1:38" ht="15.75" customHeight="1">
      <c r="D48" s="6" t="s">
        <v>99</v>
      </c>
      <c r="J48" s="40"/>
      <c r="K48" s="40"/>
      <c r="L48" s="52">
        <v>4829614</v>
      </c>
      <c r="M48" s="52">
        <v>4829614</v>
      </c>
      <c r="N48" s="53">
        <v>5009225</v>
      </c>
      <c r="O48" s="40"/>
      <c r="P48" s="40"/>
      <c r="Q48" s="40"/>
      <c r="R48" s="40"/>
    </row>
    <row r="49" spans="1:38" ht="15.75" customHeight="1">
      <c r="D49" s="6" t="s">
        <v>100</v>
      </c>
      <c r="J49" s="40"/>
      <c r="K49" s="40"/>
      <c r="L49" s="52">
        <v>13313331</v>
      </c>
      <c r="M49" s="53">
        <v>16364125</v>
      </c>
      <c r="N49" s="52">
        <v>23979687</v>
      </c>
      <c r="O49" s="40"/>
      <c r="P49" s="40"/>
      <c r="Q49" s="40"/>
      <c r="R49" s="40"/>
    </row>
    <row r="50" spans="1:38" ht="15.75" customHeight="1">
      <c r="D50" s="56" t="s">
        <v>101</v>
      </c>
      <c r="J50" s="40"/>
      <c r="K50" s="40"/>
      <c r="L50" s="52">
        <v>3285</v>
      </c>
      <c r="M50" s="52">
        <v>4655</v>
      </c>
      <c r="N50" s="52">
        <v>7915</v>
      </c>
      <c r="O50" s="40"/>
      <c r="P50" s="40"/>
      <c r="Q50" s="40"/>
      <c r="R50" s="40"/>
    </row>
    <row r="51" spans="1:38" ht="15.75" customHeight="1">
      <c r="A51" s="19"/>
      <c r="B51" s="19"/>
      <c r="C51" s="19"/>
      <c r="D51" s="19" t="s">
        <v>102</v>
      </c>
      <c r="E51" s="19"/>
      <c r="F51" s="19"/>
      <c r="G51" s="19"/>
      <c r="H51" s="19"/>
      <c r="I51" s="19"/>
      <c r="J51" s="54"/>
      <c r="K51" s="54"/>
      <c r="L51" s="57">
        <f t="shared" ref="L51:N51" si="11">SUM(L47,L49,L48,L50)</f>
        <v>19293728</v>
      </c>
      <c r="M51" s="57">
        <f t="shared" si="11"/>
        <v>22345892</v>
      </c>
      <c r="N51" s="57">
        <f t="shared" si="11"/>
        <v>30196827</v>
      </c>
      <c r="O51" s="54"/>
      <c r="P51" s="54"/>
      <c r="Q51" s="54"/>
      <c r="R51" s="54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1:38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54"/>
      <c r="K52" s="54"/>
      <c r="L52" s="59"/>
      <c r="M52" s="59"/>
      <c r="N52" s="59"/>
      <c r="O52" s="54"/>
      <c r="P52" s="54"/>
      <c r="Q52" s="54"/>
      <c r="R52" s="54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1:38" ht="15.75" customHeight="1">
      <c r="A53" s="19"/>
      <c r="B53" s="19"/>
      <c r="C53" s="19"/>
      <c r="D53" s="19" t="s">
        <v>103</v>
      </c>
      <c r="E53" s="19"/>
      <c r="F53" s="19"/>
      <c r="G53" s="19"/>
      <c r="H53" s="19"/>
      <c r="I53" s="19"/>
      <c r="J53" s="54"/>
      <c r="K53" s="54"/>
      <c r="L53" s="59"/>
      <c r="M53" s="59"/>
      <c r="N53" s="59"/>
      <c r="O53" s="54"/>
      <c r="P53" s="54"/>
      <c r="Q53" s="54"/>
      <c r="R53" s="54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1:38" ht="15.75" customHeight="1">
      <c r="A54" s="19"/>
      <c r="B54" s="19"/>
      <c r="C54" s="19"/>
      <c r="D54" s="19" t="s">
        <v>104</v>
      </c>
      <c r="E54" s="19"/>
      <c r="F54" s="19"/>
      <c r="G54" s="19"/>
      <c r="H54" s="19"/>
      <c r="I54" s="19"/>
      <c r="J54" s="54"/>
      <c r="K54" s="54"/>
      <c r="L54" s="59"/>
      <c r="M54" s="59"/>
      <c r="N54" s="59"/>
      <c r="O54" s="54"/>
      <c r="P54" s="54"/>
      <c r="Q54" s="54"/>
      <c r="R54" s="54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1:38" ht="15.75" customHeight="1">
      <c r="D55" s="6" t="s">
        <v>105</v>
      </c>
      <c r="J55" s="40"/>
      <c r="K55" s="51">
        <v>5746439</v>
      </c>
      <c r="L55" s="52">
        <v>6110810</v>
      </c>
      <c r="M55" s="52">
        <v>7018279</v>
      </c>
      <c r="N55" s="53">
        <v>3596236</v>
      </c>
      <c r="O55" s="40"/>
      <c r="P55" s="40"/>
      <c r="Q55" s="40"/>
      <c r="R55" s="40"/>
    </row>
    <row r="56" spans="1:38" ht="15.75" customHeight="1">
      <c r="D56" s="56" t="s">
        <v>106</v>
      </c>
      <c r="J56" s="40"/>
      <c r="K56" s="40"/>
      <c r="L56" s="52">
        <v>252158</v>
      </c>
      <c r="M56" s="52">
        <v>251090</v>
      </c>
      <c r="N56" s="52">
        <v>160139</v>
      </c>
      <c r="O56" s="40"/>
      <c r="P56" s="40"/>
      <c r="Q56" s="40"/>
      <c r="R56" s="40"/>
    </row>
    <row r="57" spans="1:38" ht="15.75" customHeight="1">
      <c r="D57" s="56" t="s">
        <v>107</v>
      </c>
      <c r="J57" s="40"/>
      <c r="K57" s="40"/>
      <c r="L57" s="52">
        <v>608963</v>
      </c>
      <c r="M57" s="52">
        <v>590618</v>
      </c>
      <c r="N57" s="52">
        <v>207267</v>
      </c>
      <c r="O57" s="40"/>
      <c r="P57" s="40"/>
      <c r="Q57" s="40"/>
      <c r="R57" s="40"/>
    </row>
    <row r="58" spans="1:38" ht="15.75" customHeight="1">
      <c r="D58" s="6" t="s">
        <v>108</v>
      </c>
      <c r="J58" s="40"/>
      <c r="K58" s="40"/>
      <c r="L58" s="52">
        <v>2871885</v>
      </c>
      <c r="M58" s="53">
        <v>3836608</v>
      </c>
      <c r="N58" s="53">
        <v>4676504</v>
      </c>
      <c r="O58" s="40"/>
      <c r="P58" s="40"/>
      <c r="Q58" s="40"/>
      <c r="R58" s="40"/>
    </row>
    <row r="59" spans="1:38" ht="15.75" customHeight="1">
      <c r="A59" s="19"/>
      <c r="B59" s="19"/>
      <c r="C59" s="19"/>
      <c r="D59" s="19" t="s">
        <v>109</v>
      </c>
      <c r="E59" s="19"/>
      <c r="F59" s="19"/>
      <c r="G59" s="19"/>
      <c r="H59" s="19"/>
      <c r="I59" s="19"/>
      <c r="J59" s="54"/>
      <c r="K59" s="54"/>
      <c r="L59" s="55">
        <f t="shared" ref="L59:N59" si="12">SUM(L55:L58)</f>
        <v>9843816</v>
      </c>
      <c r="M59" s="55">
        <f t="shared" si="12"/>
        <v>11696595</v>
      </c>
      <c r="N59" s="55">
        <f t="shared" si="12"/>
        <v>8640146</v>
      </c>
      <c r="O59" s="54"/>
      <c r="P59" s="54"/>
      <c r="Q59" s="54"/>
      <c r="R59" s="54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1:38" ht="15.75" customHeight="1">
      <c r="D60" s="19" t="s">
        <v>110</v>
      </c>
      <c r="J60" s="40"/>
      <c r="K60" s="40"/>
      <c r="L60" s="52"/>
      <c r="M60" s="52"/>
      <c r="N60" s="52"/>
      <c r="O60" s="40"/>
      <c r="P60" s="40"/>
      <c r="Q60" s="40"/>
      <c r="R60" s="40"/>
    </row>
    <row r="61" spans="1:38" ht="15.75" customHeight="1">
      <c r="D61" s="6" t="s">
        <v>111</v>
      </c>
      <c r="J61" s="40"/>
      <c r="K61" s="40"/>
      <c r="L61" s="52">
        <v>9076011</v>
      </c>
      <c r="M61" s="53">
        <v>10370733</v>
      </c>
      <c r="N61" s="53">
        <v>6630781</v>
      </c>
      <c r="O61" s="40"/>
      <c r="P61" s="40"/>
      <c r="Q61" s="40"/>
      <c r="R61" s="40"/>
    </row>
    <row r="62" spans="1:38" ht="15.75" customHeight="1">
      <c r="D62" s="6" t="s">
        <v>112</v>
      </c>
      <c r="J62" s="40"/>
      <c r="K62" s="51">
        <v>5798413</v>
      </c>
      <c r="L62" s="52">
        <v>11663085</v>
      </c>
      <c r="M62" s="52">
        <v>8979029</v>
      </c>
      <c r="N62" s="52">
        <v>10407067</v>
      </c>
      <c r="O62" s="40"/>
      <c r="P62" s="40"/>
      <c r="Q62" s="40"/>
      <c r="R62" s="40"/>
    </row>
    <row r="63" spans="1:38" ht="15.75" customHeight="1">
      <c r="D63" s="6" t="s">
        <v>113</v>
      </c>
      <c r="J63" s="40"/>
      <c r="K63" s="40"/>
      <c r="L63" s="52">
        <v>781784</v>
      </c>
      <c r="M63" s="52">
        <v>1283797</v>
      </c>
      <c r="N63" s="52">
        <v>9528</v>
      </c>
      <c r="O63" s="40"/>
      <c r="P63" s="40"/>
      <c r="Q63" s="40"/>
      <c r="R63" s="40"/>
    </row>
    <row r="64" spans="1:38" ht="15.75" customHeight="1">
      <c r="D64" s="6" t="s">
        <v>114</v>
      </c>
      <c r="J64" s="40"/>
      <c r="K64" s="51">
        <v>3000000</v>
      </c>
      <c r="L64" s="52">
        <v>10000000</v>
      </c>
      <c r="M64" s="53">
        <v>15646950</v>
      </c>
      <c r="N64" s="52">
        <v>19645345</v>
      </c>
      <c r="O64" s="40"/>
      <c r="P64" s="40"/>
      <c r="Q64" s="40"/>
      <c r="R64" s="40"/>
    </row>
    <row r="65" spans="1:38" ht="15.75" customHeight="1">
      <c r="D65" s="6" t="s">
        <v>107</v>
      </c>
      <c r="J65" s="40"/>
      <c r="K65" s="40"/>
      <c r="L65" s="52">
        <v>392863</v>
      </c>
      <c r="M65" s="52">
        <v>687468</v>
      </c>
      <c r="N65" s="52">
        <v>427488</v>
      </c>
      <c r="O65" s="40"/>
      <c r="P65" s="40"/>
      <c r="Q65" s="40"/>
      <c r="R65" s="40"/>
    </row>
    <row r="66" spans="1:38" ht="15.75" customHeight="1">
      <c r="D66" s="6" t="s">
        <v>115</v>
      </c>
      <c r="J66" s="40"/>
      <c r="K66" s="40"/>
      <c r="L66" s="52">
        <v>839094</v>
      </c>
      <c r="M66" s="52">
        <v>2349129</v>
      </c>
      <c r="N66" s="53">
        <v>4250709</v>
      </c>
      <c r="O66" s="40"/>
      <c r="P66" s="40"/>
      <c r="Q66" s="40"/>
      <c r="R66" s="40"/>
    </row>
    <row r="67" spans="1:38" ht="15.75" customHeight="1">
      <c r="D67" s="6" t="s">
        <v>116</v>
      </c>
      <c r="J67" s="40"/>
      <c r="K67" s="40"/>
      <c r="L67" s="52">
        <v>100745</v>
      </c>
      <c r="M67" s="52">
        <v>133887</v>
      </c>
      <c r="N67" s="52">
        <v>79048</v>
      </c>
      <c r="O67" s="40"/>
      <c r="P67" s="40"/>
      <c r="Q67" s="40"/>
      <c r="R67" s="40"/>
    </row>
    <row r="68" spans="1:38" ht="15.75" customHeight="1">
      <c r="A68" s="19"/>
      <c r="B68" s="19"/>
      <c r="C68" s="19"/>
      <c r="D68" s="19" t="s">
        <v>117</v>
      </c>
      <c r="E68" s="19"/>
      <c r="F68" s="19"/>
      <c r="G68" s="19"/>
      <c r="H68" s="19"/>
      <c r="I68" s="19"/>
      <c r="J68" s="54"/>
      <c r="K68" s="54"/>
      <c r="L68" s="55">
        <f t="shared" ref="L68:N68" si="13">SUM(L61:L67)</f>
        <v>32853582</v>
      </c>
      <c r="M68" s="55">
        <f t="shared" si="13"/>
        <v>39450993</v>
      </c>
      <c r="N68" s="55">
        <f t="shared" si="13"/>
        <v>41449966</v>
      </c>
      <c r="O68" s="54"/>
      <c r="P68" s="54"/>
      <c r="Q68" s="54"/>
      <c r="R68" s="54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1:38" ht="15.75" customHeight="1">
      <c r="A69" s="19"/>
      <c r="B69" s="19"/>
      <c r="C69" s="19"/>
      <c r="D69" s="19" t="s">
        <v>118</v>
      </c>
      <c r="E69" s="19"/>
      <c r="F69" s="19"/>
      <c r="G69" s="19"/>
      <c r="H69" s="19"/>
      <c r="I69" s="19"/>
      <c r="J69" s="54"/>
      <c r="K69" s="54"/>
      <c r="L69" s="57">
        <f t="shared" ref="L69:M69" si="14">SUM(L59,L68)</f>
        <v>42697398</v>
      </c>
      <c r="M69" s="57">
        <f t="shared" si="14"/>
        <v>51147588</v>
      </c>
      <c r="N69" s="57">
        <f>N68+N59</f>
        <v>50090112</v>
      </c>
      <c r="O69" s="54"/>
      <c r="P69" s="54"/>
      <c r="Q69" s="54"/>
      <c r="R69" s="54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1:38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54"/>
      <c r="K70" s="54"/>
      <c r="L70" s="59"/>
      <c r="M70" s="59"/>
      <c r="N70" s="59"/>
      <c r="O70" s="54"/>
      <c r="P70" s="54"/>
      <c r="Q70" s="54"/>
      <c r="R70" s="54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1:38" ht="15.75" customHeight="1">
      <c r="A71" s="19"/>
      <c r="B71" s="19"/>
      <c r="C71" s="19"/>
      <c r="D71" s="19" t="s">
        <v>119</v>
      </c>
      <c r="E71" s="19"/>
      <c r="F71" s="19"/>
      <c r="G71" s="19"/>
      <c r="H71" s="19"/>
      <c r="I71" s="19"/>
      <c r="J71" s="54"/>
      <c r="K71" s="54"/>
      <c r="L71" s="57">
        <f t="shared" ref="L71:N71" si="15">SUM(L69,L51)</f>
        <v>61991126</v>
      </c>
      <c r="M71" s="57">
        <f t="shared" si="15"/>
        <v>73493480</v>
      </c>
      <c r="N71" s="57">
        <f t="shared" si="15"/>
        <v>80286939</v>
      </c>
      <c r="O71" s="54"/>
      <c r="P71" s="54"/>
      <c r="Q71" s="54"/>
      <c r="R71" s="54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1:38" ht="15.75" customHeight="1">
      <c r="J72" s="40"/>
      <c r="K72" s="40"/>
      <c r="L72" s="52"/>
      <c r="M72" s="52"/>
      <c r="N72" s="52"/>
      <c r="O72" s="40"/>
      <c r="P72" s="40"/>
      <c r="Q72" s="40"/>
      <c r="R72" s="40"/>
    </row>
    <row r="73" spans="1:38" ht="15.75" customHeight="1">
      <c r="A73" s="19"/>
      <c r="B73" s="19"/>
      <c r="C73" s="19"/>
      <c r="D73" s="19" t="s">
        <v>120</v>
      </c>
      <c r="E73" s="19"/>
      <c r="F73" s="19"/>
      <c r="G73" s="19"/>
      <c r="H73" s="19"/>
      <c r="I73" s="19"/>
      <c r="J73" s="54"/>
      <c r="K73" s="54"/>
      <c r="L73" s="59">
        <f t="shared" ref="L73:N73" si="16">L44-L71</f>
        <v>0</v>
      </c>
      <c r="M73" s="59">
        <f t="shared" si="16"/>
        <v>0</v>
      </c>
      <c r="N73" s="59">
        <f t="shared" si="16"/>
        <v>0</v>
      </c>
      <c r="O73" s="54"/>
      <c r="P73" s="54"/>
      <c r="Q73" s="54"/>
      <c r="R73" s="54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1:38" ht="15.75" customHeight="1">
      <c r="J74" s="40"/>
      <c r="K74" s="40"/>
      <c r="L74" s="52"/>
      <c r="M74" s="52"/>
      <c r="N74" s="52"/>
      <c r="O74" s="40"/>
      <c r="P74" s="40"/>
      <c r="Q74" s="40"/>
      <c r="R74" s="40"/>
    </row>
    <row r="75" spans="1:38" ht="15.75" customHeight="1">
      <c r="B75" s="47" t="s">
        <v>121</v>
      </c>
      <c r="C75" s="47"/>
      <c r="D75" s="47"/>
      <c r="E75" s="47"/>
      <c r="F75" s="47"/>
      <c r="G75" s="47"/>
      <c r="H75" s="47"/>
      <c r="I75" s="47"/>
      <c r="J75" s="48"/>
      <c r="K75" s="48"/>
      <c r="L75" s="60"/>
      <c r="M75" s="60"/>
      <c r="N75" s="60"/>
      <c r="O75" s="48"/>
      <c r="P75" s="48"/>
      <c r="Q75" s="48"/>
      <c r="R75" s="48"/>
    </row>
    <row r="76" spans="1:38" ht="15.75" customHeight="1">
      <c r="C76" s="49" t="s">
        <v>122</v>
      </c>
      <c r="D76" s="49"/>
      <c r="E76" s="49"/>
      <c r="F76" s="49"/>
      <c r="G76" s="49"/>
      <c r="H76" s="49"/>
      <c r="I76" s="49"/>
      <c r="J76" s="50"/>
      <c r="K76" s="50"/>
      <c r="L76" s="58"/>
      <c r="M76" s="58"/>
      <c r="N76" s="58"/>
      <c r="O76" s="50"/>
      <c r="P76" s="50"/>
      <c r="Q76" s="50"/>
      <c r="R76" s="50"/>
    </row>
    <row r="77" spans="1:38" ht="15.75" customHeight="1">
      <c r="A77" s="19"/>
      <c r="B77" s="19"/>
      <c r="C77" s="19" t="s">
        <v>123</v>
      </c>
      <c r="D77" s="19"/>
      <c r="E77" s="19"/>
      <c r="F77" s="19"/>
      <c r="G77" s="19"/>
      <c r="H77" s="19"/>
      <c r="I77" s="19"/>
      <c r="J77" s="54"/>
      <c r="K77" s="54"/>
      <c r="L77" s="59"/>
      <c r="M77" s="59"/>
      <c r="N77" s="59"/>
      <c r="O77" s="54"/>
      <c r="P77" s="54"/>
      <c r="Q77" s="54"/>
      <c r="R77" s="54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1:38" ht="15.75" customHeight="1">
      <c r="D78" s="6" t="s">
        <v>124</v>
      </c>
      <c r="E78" s="25" t="str">
        <f>currency</f>
        <v>(₦'000)</v>
      </c>
      <c r="J78" s="40"/>
      <c r="K78" s="40"/>
      <c r="L78" s="52">
        <f t="shared" ref="L78:N78" si="17">L12</f>
        <v>31979445</v>
      </c>
      <c r="M78" s="52">
        <f t="shared" si="17"/>
        <v>49084616</v>
      </c>
      <c r="N78" s="52">
        <f t="shared" si="17"/>
        <v>69835197</v>
      </c>
      <c r="O78" s="40"/>
      <c r="P78" s="40"/>
      <c r="Q78" s="40"/>
      <c r="R78" s="40"/>
    </row>
    <row r="79" spans="1:38" ht="15.75" customHeight="1">
      <c r="D79" s="6" t="s">
        <v>125</v>
      </c>
      <c r="J79" s="40"/>
      <c r="K79" s="40"/>
      <c r="L79" s="52"/>
      <c r="M79" s="52"/>
      <c r="N79" s="52"/>
      <c r="O79" s="40"/>
      <c r="P79" s="40"/>
      <c r="Q79" s="40"/>
      <c r="R79" s="40"/>
    </row>
    <row r="80" spans="1:38" ht="15.75" customHeight="1">
      <c r="D80" s="56" t="s">
        <v>126</v>
      </c>
      <c r="E80" s="25" t="str">
        <f>currency</f>
        <v>(₦'000)</v>
      </c>
      <c r="F80" s="56" t="s">
        <v>127</v>
      </c>
      <c r="J80" s="40"/>
      <c r="K80" s="40"/>
      <c r="L80" s="53">
        <v>770176</v>
      </c>
      <c r="M80" s="52">
        <v>1006144</v>
      </c>
      <c r="N80" s="53">
        <v>1223130</v>
      </c>
      <c r="O80" s="40"/>
      <c r="P80" s="40"/>
      <c r="Q80" s="40"/>
      <c r="R80" s="40"/>
    </row>
    <row r="81" spans="1:38" ht="15.75" customHeight="1">
      <c r="D81" s="56" t="s">
        <v>128</v>
      </c>
      <c r="E81" s="25" t="str">
        <f>currency</f>
        <v>(₦'000)</v>
      </c>
      <c r="F81" s="56" t="s">
        <v>129</v>
      </c>
      <c r="J81" s="40"/>
      <c r="K81" s="40"/>
      <c r="L81" s="53">
        <v>1608479</v>
      </c>
      <c r="M81" s="53">
        <v>1989047</v>
      </c>
      <c r="N81" s="53">
        <v>2315298</v>
      </c>
      <c r="O81" s="40"/>
      <c r="P81" s="40"/>
      <c r="Q81" s="40"/>
      <c r="R81" s="40"/>
    </row>
    <row r="82" spans="1:38" ht="15.75" customHeight="1">
      <c r="A82" s="19"/>
      <c r="B82" s="19"/>
      <c r="C82" s="19"/>
      <c r="D82" s="19" t="s">
        <v>130</v>
      </c>
      <c r="E82" s="19" t="str">
        <f>currency</f>
        <v>(₦'000)</v>
      </c>
      <c r="F82" s="25"/>
      <c r="G82" s="19"/>
      <c r="H82" s="19"/>
      <c r="I82" s="19"/>
      <c r="J82" s="54"/>
      <c r="K82" s="54"/>
      <c r="L82" s="57">
        <f t="shared" ref="L82:N82" si="18">L78-L80-L81</f>
        <v>29600790</v>
      </c>
      <c r="M82" s="57">
        <f t="shared" si="18"/>
        <v>46089425</v>
      </c>
      <c r="N82" s="57">
        <f t="shared" si="18"/>
        <v>66296769</v>
      </c>
      <c r="O82" s="54"/>
      <c r="P82" s="54"/>
      <c r="Q82" s="54"/>
      <c r="R82" s="54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1:38" ht="15.75" customHeight="1">
      <c r="J83" s="40"/>
      <c r="K83" s="40"/>
      <c r="L83" s="52"/>
      <c r="M83" s="52"/>
      <c r="N83" s="52"/>
      <c r="O83" s="40"/>
      <c r="P83" s="40"/>
      <c r="Q83" s="40"/>
      <c r="R83" s="40"/>
    </row>
    <row r="84" spans="1:38" ht="15.75" customHeight="1">
      <c r="C84" s="19" t="s">
        <v>69</v>
      </c>
      <c r="J84" s="40"/>
      <c r="K84" s="40"/>
      <c r="L84" s="52"/>
      <c r="M84" s="52"/>
      <c r="N84" s="52"/>
      <c r="O84" s="40"/>
      <c r="P84" s="40"/>
      <c r="Q84" s="40"/>
      <c r="R84" s="40"/>
    </row>
    <row r="85" spans="1:38" ht="15.75" customHeight="1">
      <c r="D85" s="6" t="s">
        <v>124</v>
      </c>
      <c r="E85" s="25" t="str">
        <f>currency</f>
        <v>(₦'000)</v>
      </c>
      <c r="J85" s="40"/>
      <c r="K85" s="40"/>
      <c r="L85" s="52">
        <f t="shared" ref="L85:N85" si="19">L15</f>
        <v>6532831</v>
      </c>
      <c r="M85" s="52">
        <f t="shared" si="19"/>
        <v>8712125</v>
      </c>
      <c r="N85" s="52">
        <f t="shared" si="19"/>
        <v>12396055</v>
      </c>
      <c r="O85" s="40"/>
      <c r="P85" s="40"/>
      <c r="Q85" s="40"/>
      <c r="R85" s="40"/>
    </row>
    <row r="86" spans="1:38" ht="15.75" customHeight="1">
      <c r="D86" s="56" t="s">
        <v>131</v>
      </c>
      <c r="E86" s="25" t="str">
        <f>currency</f>
        <v>(₦'000)</v>
      </c>
      <c r="F86" s="56" t="s">
        <v>129</v>
      </c>
      <c r="J86" s="40"/>
      <c r="K86" s="40"/>
      <c r="L86" s="52">
        <f t="shared" ref="L86:N86" si="20">L81</f>
        <v>1608479</v>
      </c>
      <c r="M86" s="52">
        <f t="shared" si="20"/>
        <v>1989047</v>
      </c>
      <c r="N86" s="52">
        <f t="shared" si="20"/>
        <v>2315298</v>
      </c>
      <c r="O86" s="40"/>
      <c r="P86" s="40"/>
      <c r="Q86" s="40"/>
      <c r="R86" s="40"/>
    </row>
    <row r="87" spans="1:38" ht="15.75" customHeight="1">
      <c r="D87" s="56" t="s">
        <v>132</v>
      </c>
      <c r="E87" s="25" t="str">
        <f>currency</f>
        <v>(₦'000)</v>
      </c>
      <c r="F87" s="56" t="s">
        <v>127</v>
      </c>
      <c r="J87" s="40"/>
      <c r="K87" s="40"/>
      <c r="L87" s="53">
        <v>496561</v>
      </c>
      <c r="M87" s="53">
        <v>661506</v>
      </c>
      <c r="N87" s="53">
        <v>1015714</v>
      </c>
      <c r="O87" s="40"/>
      <c r="P87" s="40"/>
      <c r="Q87" s="40"/>
      <c r="R87" s="40"/>
    </row>
    <row r="88" spans="1:38" ht="15.75" customHeight="1">
      <c r="D88" s="19" t="s">
        <v>69</v>
      </c>
      <c r="E88" s="19" t="str">
        <f>currency</f>
        <v>(₦'000)</v>
      </c>
      <c r="J88" s="40"/>
      <c r="K88" s="40"/>
      <c r="L88" s="57">
        <f t="shared" ref="L88:N88" si="21">L85+L86-L87</f>
        <v>7644749</v>
      </c>
      <c r="M88" s="57">
        <f t="shared" si="21"/>
        <v>10039666</v>
      </c>
      <c r="N88" s="57">
        <f t="shared" si="21"/>
        <v>13695639</v>
      </c>
      <c r="O88" s="40"/>
      <c r="P88" s="40"/>
      <c r="Q88" s="40"/>
      <c r="R88" s="40"/>
    </row>
    <row r="89" spans="1:38" ht="15.75" customHeight="1">
      <c r="J89" s="40"/>
      <c r="K89" s="40"/>
      <c r="L89" s="52"/>
      <c r="M89" s="52"/>
      <c r="N89" s="52"/>
      <c r="O89" s="40"/>
      <c r="P89" s="40"/>
      <c r="Q89" s="40"/>
      <c r="R89" s="40"/>
    </row>
    <row r="90" spans="1:38" ht="15.75" customHeight="1">
      <c r="C90" s="61" t="s">
        <v>133</v>
      </c>
      <c r="J90" s="40"/>
      <c r="K90" s="40"/>
      <c r="L90" s="52"/>
      <c r="M90" s="52"/>
      <c r="N90" s="52"/>
      <c r="O90" s="40"/>
      <c r="P90" s="40"/>
      <c r="Q90" s="40"/>
      <c r="R90" s="40"/>
    </row>
    <row r="91" spans="1:38" ht="15.75" customHeight="1">
      <c r="D91" s="56" t="s">
        <v>134</v>
      </c>
      <c r="E91" s="25" t="str">
        <f>currency</f>
        <v>(₦'000)</v>
      </c>
      <c r="F91" s="56" t="s">
        <v>127</v>
      </c>
      <c r="J91" s="40"/>
      <c r="K91" s="40"/>
      <c r="L91" s="53">
        <v>1127156</v>
      </c>
      <c r="M91" s="53">
        <v>1496671</v>
      </c>
      <c r="N91" s="53">
        <v>1948477</v>
      </c>
      <c r="O91" s="40"/>
      <c r="P91" s="40"/>
      <c r="Q91" s="40"/>
      <c r="R91" s="40"/>
    </row>
    <row r="92" spans="1:38" ht="15.75" customHeight="1">
      <c r="D92" s="56" t="s">
        <v>135</v>
      </c>
      <c r="E92" s="25" t="str">
        <f>currency</f>
        <v>(₦'000)</v>
      </c>
      <c r="F92" s="56" t="s">
        <v>127</v>
      </c>
      <c r="J92" s="40"/>
      <c r="K92" s="40"/>
      <c r="L92" s="53">
        <v>57690</v>
      </c>
      <c r="M92" s="53">
        <v>35384</v>
      </c>
      <c r="N92" s="53">
        <v>0</v>
      </c>
      <c r="O92" s="40"/>
      <c r="P92" s="40"/>
      <c r="Q92" s="40"/>
      <c r="R92" s="40"/>
    </row>
    <row r="93" spans="1:38" ht="15.75" customHeight="1">
      <c r="D93" s="56" t="s">
        <v>136</v>
      </c>
      <c r="E93" s="25" t="str">
        <f>currency</f>
        <v>(₦'000)</v>
      </c>
      <c r="F93" s="56" t="s">
        <v>127</v>
      </c>
      <c r="J93" s="40"/>
      <c r="K93" s="40"/>
      <c r="L93" s="53">
        <v>81891</v>
      </c>
      <c r="M93" s="53">
        <v>135595</v>
      </c>
      <c r="N93" s="53">
        <v>290367</v>
      </c>
      <c r="O93" s="40"/>
      <c r="P93" s="40"/>
      <c r="Q93" s="40"/>
      <c r="R93" s="40"/>
    </row>
    <row r="94" spans="1:38" ht="15.75" customHeight="1">
      <c r="D94" s="19" t="s">
        <v>137</v>
      </c>
      <c r="E94" s="19" t="str">
        <f>currency</f>
        <v>(₦'000)</v>
      </c>
      <c r="J94" s="40"/>
      <c r="K94" s="40"/>
      <c r="L94" s="57">
        <f t="shared" ref="L94:N94" si="22">L91+L92+L93</f>
        <v>1266737</v>
      </c>
      <c r="M94" s="57">
        <f t="shared" si="22"/>
        <v>1667650</v>
      </c>
      <c r="N94" s="57">
        <f t="shared" si="22"/>
        <v>2238844</v>
      </c>
      <c r="O94" s="40"/>
      <c r="P94" s="40"/>
      <c r="Q94" s="40"/>
      <c r="R94" s="40"/>
    </row>
    <row r="95" spans="1:38" ht="15.75" customHeight="1">
      <c r="J95" s="40"/>
      <c r="K95" s="40"/>
      <c r="L95" s="52"/>
      <c r="M95" s="52"/>
      <c r="N95" s="52"/>
      <c r="O95" s="40"/>
      <c r="P95" s="40"/>
      <c r="Q95" s="40"/>
      <c r="R95" s="40"/>
    </row>
    <row r="96" spans="1:38" ht="15.75" customHeight="1">
      <c r="C96" s="49" t="s">
        <v>138</v>
      </c>
      <c r="D96" s="49"/>
      <c r="E96" s="49"/>
      <c r="F96" s="49"/>
      <c r="G96" s="49"/>
      <c r="H96" s="49"/>
      <c r="I96" s="49"/>
      <c r="J96" s="50"/>
      <c r="K96" s="50"/>
      <c r="L96" s="58"/>
      <c r="M96" s="58"/>
      <c r="N96" s="58"/>
      <c r="O96" s="50"/>
      <c r="P96" s="50"/>
      <c r="Q96" s="50"/>
      <c r="R96" s="50"/>
    </row>
    <row r="97" spans="1:38" ht="15.75" customHeight="1">
      <c r="A97" s="19"/>
      <c r="B97" s="19"/>
      <c r="C97" s="19" t="s">
        <v>139</v>
      </c>
      <c r="D97" s="19"/>
      <c r="E97" s="19"/>
      <c r="F97" s="19"/>
      <c r="G97" s="19"/>
      <c r="H97" s="19"/>
      <c r="I97" s="19"/>
      <c r="J97" s="54"/>
      <c r="K97" s="54"/>
      <c r="L97" s="59"/>
      <c r="M97" s="59"/>
      <c r="N97" s="59"/>
      <c r="O97" s="54"/>
      <c r="P97" s="54"/>
      <c r="Q97" s="54"/>
      <c r="R97" s="54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1:38" ht="15.75" customHeight="1">
      <c r="D98" s="6" t="s">
        <v>124</v>
      </c>
      <c r="E98" s="25" t="str">
        <f>currency</f>
        <v>(₦'000)</v>
      </c>
      <c r="J98" s="40"/>
      <c r="K98" s="40"/>
      <c r="L98" s="52">
        <f t="shared" ref="L98:N98" si="23">L40</f>
        <v>5887827</v>
      </c>
      <c r="M98" s="52">
        <f t="shared" si="23"/>
        <v>6208215</v>
      </c>
      <c r="N98" s="52">
        <f t="shared" si="23"/>
        <v>11068227</v>
      </c>
      <c r="O98" s="40"/>
      <c r="P98" s="40"/>
      <c r="Q98" s="40"/>
      <c r="R98" s="40"/>
    </row>
    <row r="99" spans="1:38" ht="15.75" customHeight="1">
      <c r="D99" s="6" t="s">
        <v>125</v>
      </c>
      <c r="J99" s="40"/>
      <c r="K99" s="40"/>
      <c r="L99" s="52"/>
      <c r="M99" s="52"/>
      <c r="N99" s="52"/>
      <c r="O99" s="40"/>
      <c r="P99" s="40"/>
      <c r="Q99" s="40"/>
      <c r="R99" s="40"/>
    </row>
    <row r="100" spans="1:38" ht="15.75" customHeight="1">
      <c r="D100" s="56" t="s">
        <v>140</v>
      </c>
      <c r="E100" s="25" t="str">
        <f>currency</f>
        <v>(₦'000)</v>
      </c>
      <c r="F100" s="6" t="s">
        <v>141</v>
      </c>
      <c r="J100" s="40"/>
      <c r="K100" s="40"/>
      <c r="L100" s="53">
        <f>558299-111338</f>
        <v>446961</v>
      </c>
      <c r="M100" s="53">
        <f>1121512-469127</f>
        <v>652385</v>
      </c>
      <c r="N100" s="53">
        <f>841848-589257</f>
        <v>252591</v>
      </c>
      <c r="O100" s="40"/>
      <c r="P100" s="40"/>
      <c r="Q100" s="40"/>
      <c r="R100" s="40"/>
    </row>
    <row r="101" spans="1:38" ht="15.75" customHeight="1">
      <c r="A101" s="19"/>
      <c r="B101" s="19"/>
      <c r="C101" s="19"/>
      <c r="D101" s="19" t="s">
        <v>142</v>
      </c>
      <c r="E101" s="19" t="str">
        <f>currency</f>
        <v>(₦'000)</v>
      </c>
      <c r="F101" s="19"/>
      <c r="G101" s="19"/>
      <c r="H101" s="19"/>
      <c r="I101" s="19"/>
      <c r="J101" s="54"/>
      <c r="K101" s="54"/>
      <c r="L101" s="55">
        <f t="shared" ref="L101:N101" si="24">L98-L100</f>
        <v>5440866</v>
      </c>
      <c r="M101" s="55">
        <f t="shared" si="24"/>
        <v>5555830</v>
      </c>
      <c r="N101" s="55">
        <f t="shared" si="24"/>
        <v>10815636</v>
      </c>
      <c r="O101" s="54"/>
      <c r="P101" s="54"/>
      <c r="Q101" s="54"/>
      <c r="R101" s="54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1:38" ht="15.75" customHeight="1">
      <c r="A102" s="19"/>
      <c r="B102" s="19"/>
      <c r="C102" s="19"/>
      <c r="D102" s="19" t="s">
        <v>143</v>
      </c>
      <c r="E102" s="19" t="str">
        <f>currency</f>
        <v>(₦'000)</v>
      </c>
      <c r="F102" s="19"/>
      <c r="G102" s="19"/>
      <c r="H102" s="19"/>
      <c r="I102" s="19"/>
      <c r="J102" s="54"/>
      <c r="K102" s="54"/>
      <c r="L102" s="57">
        <f t="shared" ref="L102:N102" si="25">L98-L101</f>
        <v>446961</v>
      </c>
      <c r="M102" s="57">
        <f t="shared" si="25"/>
        <v>652385</v>
      </c>
      <c r="N102" s="57">
        <f t="shared" si="25"/>
        <v>252591</v>
      </c>
      <c r="O102" s="54"/>
      <c r="P102" s="54"/>
      <c r="Q102" s="54"/>
      <c r="R102" s="54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1:38" ht="15.75" customHeight="1">
      <c r="J103" s="40"/>
      <c r="K103" s="40"/>
      <c r="L103" s="52"/>
      <c r="M103" s="52"/>
      <c r="N103" s="52"/>
      <c r="O103" s="40"/>
      <c r="P103" s="40"/>
      <c r="Q103" s="40"/>
      <c r="R103" s="40"/>
    </row>
    <row r="104" spans="1:38" ht="15.75" customHeight="1">
      <c r="A104" s="19"/>
      <c r="B104" s="19"/>
      <c r="C104" s="19" t="s">
        <v>144</v>
      </c>
      <c r="D104" s="19"/>
      <c r="E104" s="19"/>
      <c r="F104" s="19"/>
      <c r="G104" s="19"/>
      <c r="H104" s="19"/>
      <c r="I104" s="19"/>
      <c r="J104" s="54"/>
      <c r="K104" s="54"/>
      <c r="L104" s="59"/>
      <c r="M104" s="59"/>
      <c r="N104" s="59"/>
      <c r="O104" s="54"/>
      <c r="P104" s="54"/>
      <c r="Q104" s="54"/>
      <c r="R104" s="54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1:38" ht="15.75" customHeight="1">
      <c r="D105" s="6" t="s">
        <v>124</v>
      </c>
      <c r="E105" s="25" t="str">
        <f>currency</f>
        <v>(₦'000)</v>
      </c>
      <c r="F105" s="6" t="s">
        <v>145</v>
      </c>
      <c r="J105" s="40"/>
      <c r="K105" s="52">
        <f t="shared" ref="K105:N105" si="26">K62</f>
        <v>5798413</v>
      </c>
      <c r="L105" s="52">
        <f t="shared" si="26"/>
        <v>11663085</v>
      </c>
      <c r="M105" s="52">
        <f t="shared" si="26"/>
        <v>8979029</v>
      </c>
      <c r="N105" s="52">
        <f t="shared" si="26"/>
        <v>10407067</v>
      </c>
      <c r="O105" s="40"/>
      <c r="P105" s="40"/>
      <c r="Q105" s="40"/>
      <c r="R105" s="40"/>
    </row>
    <row r="106" spans="1:38" ht="15.75" customHeight="1">
      <c r="D106" s="6" t="s">
        <v>146</v>
      </c>
      <c r="E106" s="25" t="str">
        <f>currency</f>
        <v>(₦'000)</v>
      </c>
      <c r="F106" s="6" t="s">
        <v>145</v>
      </c>
      <c r="J106" s="40"/>
      <c r="K106" s="52">
        <f t="shared" ref="K106:N106" si="27">K55</f>
        <v>5746439</v>
      </c>
      <c r="L106" s="52">
        <f t="shared" si="27"/>
        <v>6110810</v>
      </c>
      <c r="M106" s="52">
        <f t="shared" si="27"/>
        <v>7018279</v>
      </c>
      <c r="N106" s="52">
        <f t="shared" si="27"/>
        <v>3596236</v>
      </c>
      <c r="O106" s="40"/>
      <c r="P106" s="40"/>
      <c r="Q106" s="40"/>
      <c r="R106" s="40"/>
    </row>
    <row r="107" spans="1:38" ht="15.75" customHeight="1">
      <c r="A107" s="19"/>
      <c r="B107" s="19"/>
      <c r="C107" s="19"/>
      <c r="D107" s="19" t="s">
        <v>147</v>
      </c>
      <c r="E107" s="19" t="str">
        <f>currency</f>
        <v>(₦'000)</v>
      </c>
      <c r="F107" s="19"/>
      <c r="G107" s="19"/>
      <c r="H107" s="19"/>
      <c r="I107" s="19"/>
      <c r="J107" s="54"/>
      <c r="K107" s="57">
        <f t="shared" ref="K107:N107" si="28">K105+K106</f>
        <v>11544852</v>
      </c>
      <c r="L107" s="57">
        <f t="shared" si="28"/>
        <v>17773895</v>
      </c>
      <c r="M107" s="57">
        <f t="shared" si="28"/>
        <v>15997308</v>
      </c>
      <c r="N107" s="57">
        <f t="shared" si="28"/>
        <v>14003303</v>
      </c>
      <c r="O107" s="54"/>
      <c r="P107" s="54"/>
      <c r="Q107" s="54"/>
      <c r="R107" s="54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1:38" ht="15.75" customHeight="1">
      <c r="J108" s="40"/>
      <c r="K108" s="40"/>
      <c r="L108" s="52"/>
      <c r="M108" s="52"/>
      <c r="N108" s="52"/>
      <c r="O108" s="40"/>
      <c r="P108" s="40"/>
      <c r="Q108" s="40"/>
      <c r="R108" s="40"/>
    </row>
    <row r="109" spans="1:38" ht="15.75" customHeight="1">
      <c r="A109" s="19"/>
      <c r="B109" s="19"/>
      <c r="C109" s="61" t="s">
        <v>148</v>
      </c>
      <c r="D109" s="19"/>
      <c r="E109" s="19"/>
      <c r="F109" s="19"/>
      <c r="G109" s="19"/>
      <c r="H109" s="19"/>
      <c r="I109" s="19"/>
      <c r="J109" s="54"/>
      <c r="K109" s="54"/>
      <c r="L109" s="59"/>
      <c r="M109" s="59"/>
      <c r="N109" s="59"/>
      <c r="O109" s="54"/>
      <c r="P109" s="54"/>
      <c r="Q109" s="54"/>
      <c r="R109" s="54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1:38" ht="15.75" customHeight="1">
      <c r="D110" s="6" t="s">
        <v>124</v>
      </c>
      <c r="E110" s="25" t="str">
        <f>currency</f>
        <v>(₦'000)</v>
      </c>
      <c r="J110" s="40"/>
      <c r="K110" s="40"/>
      <c r="L110" s="52">
        <f t="shared" ref="L110:N110" si="29">L65</f>
        <v>392863</v>
      </c>
      <c r="M110" s="52">
        <f t="shared" si="29"/>
        <v>687468</v>
      </c>
      <c r="N110" s="52">
        <f t="shared" si="29"/>
        <v>427488</v>
      </c>
      <c r="O110" s="40"/>
      <c r="P110" s="40"/>
      <c r="Q110" s="40"/>
      <c r="R110" s="40"/>
    </row>
    <row r="111" spans="1:38" ht="15.75" customHeight="1">
      <c r="D111" s="56" t="s">
        <v>149</v>
      </c>
      <c r="E111" s="25" t="str">
        <f>currency</f>
        <v>(₦'000)</v>
      </c>
      <c r="J111" s="40"/>
      <c r="K111" s="40"/>
      <c r="L111" s="52">
        <f t="shared" ref="L111:N111" si="30">L57</f>
        <v>608963</v>
      </c>
      <c r="M111" s="52">
        <f t="shared" si="30"/>
        <v>590618</v>
      </c>
      <c r="N111" s="52">
        <f t="shared" si="30"/>
        <v>207267</v>
      </c>
      <c r="O111" s="40"/>
      <c r="P111" s="40"/>
      <c r="Q111" s="40"/>
      <c r="R111" s="40"/>
    </row>
    <row r="112" spans="1:38" ht="15.75" customHeight="1">
      <c r="A112" s="19"/>
      <c r="B112" s="19"/>
      <c r="C112" s="19"/>
      <c r="D112" s="19" t="s">
        <v>147</v>
      </c>
      <c r="E112" s="19" t="str">
        <f>currency</f>
        <v>(₦'000)</v>
      </c>
      <c r="F112" s="19"/>
      <c r="G112" s="19"/>
      <c r="H112" s="19"/>
      <c r="I112" s="19"/>
      <c r="J112" s="54"/>
      <c r="K112" s="54"/>
      <c r="L112" s="57">
        <f t="shared" ref="L112:N112" si="31">L110+L111</f>
        <v>1001826</v>
      </c>
      <c r="M112" s="57">
        <f t="shared" si="31"/>
        <v>1278086</v>
      </c>
      <c r="N112" s="57">
        <f t="shared" si="31"/>
        <v>634755</v>
      </c>
      <c r="O112" s="54"/>
      <c r="P112" s="54"/>
      <c r="Q112" s="54"/>
      <c r="R112" s="54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pans="1:38" ht="15.75" customHeight="1">
      <c r="J113" s="40"/>
      <c r="K113" s="40"/>
      <c r="L113" s="52"/>
      <c r="M113" s="52"/>
      <c r="N113" s="52"/>
      <c r="O113" s="40"/>
      <c r="P113" s="40"/>
      <c r="Q113" s="40"/>
      <c r="R113" s="40"/>
    </row>
    <row r="114" spans="1:38" ht="15.75" customHeight="1">
      <c r="A114" s="19"/>
      <c r="B114" s="19"/>
      <c r="C114" s="19" t="s">
        <v>150</v>
      </c>
      <c r="D114" s="19"/>
      <c r="E114" s="19"/>
      <c r="F114" s="19"/>
      <c r="G114" s="19"/>
      <c r="H114" s="19"/>
      <c r="I114" s="19"/>
      <c r="J114" s="54"/>
      <c r="K114" s="54"/>
      <c r="L114" s="59"/>
      <c r="M114" s="59"/>
      <c r="N114" s="59"/>
      <c r="O114" s="54"/>
      <c r="P114" s="54"/>
      <c r="Q114" s="54"/>
      <c r="R114" s="54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</row>
    <row r="115" spans="1:38" ht="15.75" customHeight="1">
      <c r="D115" s="6" t="s">
        <v>124</v>
      </c>
      <c r="E115" s="25" t="str">
        <f>currency</f>
        <v>(₦'000)</v>
      </c>
      <c r="F115" s="6" t="s">
        <v>151</v>
      </c>
      <c r="J115" s="40"/>
      <c r="K115" s="40"/>
      <c r="L115" s="52">
        <f t="shared" ref="L115:N115" si="32">L61</f>
        <v>9076011</v>
      </c>
      <c r="M115" s="52">
        <f t="shared" si="32"/>
        <v>10370733</v>
      </c>
      <c r="N115" s="52">
        <f t="shared" si="32"/>
        <v>6630781</v>
      </c>
      <c r="O115" s="40"/>
      <c r="P115" s="40"/>
      <c r="Q115" s="40"/>
      <c r="R115" s="40"/>
    </row>
    <row r="116" spans="1:38" ht="15.75" customHeight="1">
      <c r="D116" s="6" t="s">
        <v>125</v>
      </c>
      <c r="J116" s="40"/>
      <c r="K116" s="40"/>
      <c r="L116" s="52"/>
      <c r="M116" s="52"/>
      <c r="N116" s="52"/>
      <c r="O116" s="40"/>
      <c r="P116" s="40"/>
      <c r="Q116" s="40"/>
      <c r="R116" s="40"/>
    </row>
    <row r="117" spans="1:38" ht="15.75" customHeight="1">
      <c r="D117" s="56" t="s">
        <v>152</v>
      </c>
      <c r="E117" s="25" t="str">
        <f>currency</f>
        <v>(₦'000)</v>
      </c>
      <c r="F117" s="6" t="s">
        <v>151</v>
      </c>
      <c r="J117" s="40"/>
      <c r="K117" s="40"/>
      <c r="L117" s="53">
        <v>2027207</v>
      </c>
      <c r="M117" s="53">
        <v>1794091</v>
      </c>
      <c r="N117" s="53">
        <v>2183739</v>
      </c>
      <c r="O117" s="40"/>
      <c r="P117" s="40"/>
      <c r="Q117" s="40"/>
      <c r="R117" s="40"/>
    </row>
    <row r="118" spans="1:38" ht="15.75" customHeight="1">
      <c r="A118" s="19"/>
      <c r="B118" s="19"/>
      <c r="C118" s="19"/>
      <c r="D118" s="19" t="s">
        <v>153</v>
      </c>
      <c r="E118" s="19" t="str">
        <f>currency</f>
        <v>(₦'000)</v>
      </c>
      <c r="F118" s="19"/>
      <c r="G118" s="19"/>
      <c r="H118" s="19"/>
      <c r="I118" s="19"/>
      <c r="J118" s="54"/>
      <c r="K118" s="54"/>
      <c r="L118" s="55">
        <f t="shared" ref="L118:N118" si="33">L115-L117</f>
        <v>7048804</v>
      </c>
      <c r="M118" s="55">
        <f t="shared" si="33"/>
        <v>8576642</v>
      </c>
      <c r="N118" s="55">
        <f t="shared" si="33"/>
        <v>4447042</v>
      </c>
      <c r="O118" s="54"/>
      <c r="P118" s="54"/>
      <c r="Q118" s="54"/>
      <c r="R118" s="54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</row>
    <row r="119" spans="1:38" ht="15.75" customHeight="1">
      <c r="A119" s="19"/>
      <c r="B119" s="19"/>
      <c r="C119" s="19"/>
      <c r="D119" s="19" t="s">
        <v>152</v>
      </c>
      <c r="E119" s="19" t="str">
        <f>currency</f>
        <v>(₦'000)</v>
      </c>
      <c r="F119" s="19"/>
      <c r="G119" s="19"/>
      <c r="H119" s="19"/>
      <c r="I119" s="19"/>
      <c r="J119" s="54"/>
      <c r="K119" s="54"/>
      <c r="L119" s="57">
        <f t="shared" ref="L119:N119" si="34">L115-L118+L67</f>
        <v>2127952</v>
      </c>
      <c r="M119" s="57">
        <f t="shared" si="34"/>
        <v>1927978</v>
      </c>
      <c r="N119" s="57">
        <f t="shared" si="34"/>
        <v>2262787</v>
      </c>
      <c r="O119" s="54"/>
      <c r="P119" s="54"/>
      <c r="Q119" s="54"/>
      <c r="R119" s="54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</row>
    <row r="120" spans="1:38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54"/>
      <c r="K120" s="54"/>
      <c r="L120" s="59"/>
      <c r="M120" s="59"/>
      <c r="N120" s="59"/>
      <c r="O120" s="54"/>
      <c r="P120" s="54"/>
      <c r="Q120" s="54"/>
      <c r="R120" s="54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</row>
    <row r="121" spans="1:38" ht="15.75" customHeight="1">
      <c r="A121" s="19"/>
      <c r="B121" s="19"/>
      <c r="C121" s="61" t="s">
        <v>154</v>
      </c>
      <c r="D121" s="19"/>
      <c r="E121" s="19"/>
      <c r="F121" s="19"/>
      <c r="G121" s="19"/>
      <c r="H121" s="19"/>
      <c r="I121" s="19"/>
      <c r="J121" s="54"/>
      <c r="K121" s="54"/>
      <c r="L121" s="59"/>
      <c r="M121" s="59"/>
      <c r="N121" s="59"/>
      <c r="O121" s="54"/>
      <c r="P121" s="54"/>
      <c r="Q121" s="54"/>
      <c r="R121" s="54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</row>
    <row r="122" spans="1:38" ht="15.75" customHeight="1">
      <c r="D122" s="6" t="s">
        <v>124</v>
      </c>
      <c r="E122" s="25" t="str">
        <f>currency</f>
        <v>(₦'000)</v>
      </c>
      <c r="J122" s="40"/>
      <c r="K122" s="40"/>
      <c r="L122" s="52">
        <f t="shared" ref="L122:N122" si="35">L39</f>
        <v>485010</v>
      </c>
      <c r="M122" s="52">
        <f t="shared" si="35"/>
        <v>242230</v>
      </c>
      <c r="N122" s="52">
        <f t="shared" si="35"/>
        <v>0</v>
      </c>
      <c r="O122" s="40"/>
      <c r="P122" s="40"/>
      <c r="Q122" s="40"/>
      <c r="R122" s="40"/>
    </row>
    <row r="123" spans="1:38" ht="15.75" customHeight="1">
      <c r="D123" s="56" t="s">
        <v>149</v>
      </c>
      <c r="E123" s="25" t="str">
        <f>currency</f>
        <v>(₦'000)</v>
      </c>
      <c r="J123" s="40"/>
      <c r="K123" s="40"/>
      <c r="L123" s="52">
        <f t="shared" ref="L123:N123" si="36">L34</f>
        <v>16183</v>
      </c>
      <c r="M123" s="52">
        <f t="shared" si="36"/>
        <v>17915</v>
      </c>
      <c r="N123" s="52">
        <f t="shared" si="36"/>
        <v>20498</v>
      </c>
      <c r="O123" s="40"/>
      <c r="P123" s="40"/>
      <c r="Q123" s="40"/>
      <c r="R123" s="40"/>
    </row>
    <row r="124" spans="1:38" ht="15.75" customHeight="1">
      <c r="A124" s="19"/>
      <c r="B124" s="19"/>
      <c r="C124" s="19"/>
      <c r="D124" s="61" t="s">
        <v>155</v>
      </c>
      <c r="E124" s="19" t="str">
        <f>currency</f>
        <v>(₦'000)</v>
      </c>
      <c r="F124" s="19"/>
      <c r="G124" s="19"/>
      <c r="H124" s="19"/>
      <c r="I124" s="19"/>
      <c r="J124" s="54"/>
      <c r="K124" s="54"/>
      <c r="L124" s="57">
        <f t="shared" ref="L124:N124" si="37">L122+L123</f>
        <v>501193</v>
      </c>
      <c r="M124" s="57">
        <f t="shared" si="37"/>
        <v>260145</v>
      </c>
      <c r="N124" s="57">
        <f t="shared" si="37"/>
        <v>20498</v>
      </c>
      <c r="O124" s="54"/>
      <c r="P124" s="54"/>
      <c r="Q124" s="54"/>
      <c r="R124" s="54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</row>
    <row r="125" spans="1:38" ht="15.75" customHeight="1">
      <c r="J125" s="40"/>
      <c r="K125" s="40"/>
      <c r="L125" s="52"/>
      <c r="M125" s="52"/>
      <c r="N125" s="52"/>
      <c r="O125" s="40"/>
      <c r="P125" s="40"/>
      <c r="Q125" s="40"/>
      <c r="R125" s="40"/>
    </row>
    <row r="126" spans="1:38" ht="15.75" customHeight="1">
      <c r="C126" s="49" t="s">
        <v>138</v>
      </c>
      <c r="D126" s="49"/>
      <c r="E126" s="49"/>
      <c r="F126" s="49"/>
      <c r="G126" s="49"/>
      <c r="H126" s="49"/>
      <c r="I126" s="49"/>
      <c r="J126" s="50"/>
      <c r="K126" s="50"/>
      <c r="L126" s="58"/>
      <c r="M126" s="58"/>
      <c r="N126" s="58"/>
      <c r="O126" s="50"/>
      <c r="P126" s="50"/>
      <c r="Q126" s="50"/>
      <c r="R126" s="50"/>
    </row>
    <row r="127" spans="1:38" ht="15.75" customHeight="1">
      <c r="D127" s="6" t="s">
        <v>156</v>
      </c>
      <c r="E127" s="25" t="str">
        <f t="shared" ref="E127:E133" si="38">currency</f>
        <v>(₦'000)</v>
      </c>
      <c r="F127" s="6" t="s">
        <v>157</v>
      </c>
      <c r="J127" s="40"/>
      <c r="K127" s="40"/>
      <c r="L127" s="53">
        <v>1262248</v>
      </c>
      <c r="M127" s="53">
        <v>1376998</v>
      </c>
      <c r="N127" s="53">
        <v>2294168</v>
      </c>
      <c r="O127" s="40"/>
      <c r="P127" s="40"/>
      <c r="Q127" s="40"/>
      <c r="R127" s="40"/>
    </row>
    <row r="128" spans="1:38" ht="15.75" customHeight="1">
      <c r="D128" s="6" t="s">
        <v>158</v>
      </c>
      <c r="E128" s="25" t="str">
        <f t="shared" si="38"/>
        <v>(₦'000)</v>
      </c>
      <c r="F128" s="56" t="s">
        <v>159</v>
      </c>
      <c r="J128" s="40"/>
      <c r="K128" s="40"/>
      <c r="L128" s="53">
        <v>1454692</v>
      </c>
      <c r="M128" s="53">
        <v>1796209</v>
      </c>
      <c r="N128" s="53">
        <v>3941758</v>
      </c>
      <c r="O128" s="40"/>
      <c r="P128" s="40"/>
      <c r="Q128" s="40"/>
      <c r="R128" s="40"/>
    </row>
    <row r="129" spans="4:18" ht="15.75" customHeight="1">
      <c r="D129" s="6" t="s">
        <v>160</v>
      </c>
      <c r="E129" s="25" t="str">
        <f t="shared" si="38"/>
        <v>(₦'000)</v>
      </c>
      <c r="F129" s="56" t="s">
        <v>161</v>
      </c>
      <c r="J129" s="40"/>
      <c r="K129" s="40"/>
      <c r="L129" s="53">
        <v>3602836</v>
      </c>
      <c r="M129" s="53">
        <v>9685504</v>
      </c>
      <c r="N129" s="53">
        <v>8709925</v>
      </c>
      <c r="O129" s="62">
        <f t="shared" ref="O129:R129" si="39">AVERAGE(L129:N129)</f>
        <v>7332755</v>
      </c>
      <c r="P129" s="62">
        <f t="shared" si="39"/>
        <v>8576061.333333334</v>
      </c>
      <c r="Q129" s="62">
        <f t="shared" si="39"/>
        <v>8206247.1111111119</v>
      </c>
      <c r="R129" s="62">
        <f t="shared" si="39"/>
        <v>8038354.4814814823</v>
      </c>
    </row>
    <row r="130" spans="4:18" ht="15.75" customHeight="1">
      <c r="D130" s="6" t="s">
        <v>162</v>
      </c>
      <c r="E130" s="25" t="str">
        <f t="shared" si="38"/>
        <v>(₦'000)</v>
      </c>
      <c r="F130" s="56" t="s">
        <v>161</v>
      </c>
      <c r="J130" s="40"/>
      <c r="K130" s="40"/>
      <c r="L130" s="53">
        <v>11105017</v>
      </c>
      <c r="M130" s="53">
        <v>8300000</v>
      </c>
      <c r="N130" s="53">
        <v>6000000</v>
      </c>
      <c r="O130" s="62">
        <f t="shared" ref="O130:R130" si="40">AVERAGE(L130:N130)</f>
        <v>8468339</v>
      </c>
      <c r="P130" s="62">
        <f t="shared" si="40"/>
        <v>7589446.333333333</v>
      </c>
      <c r="Q130" s="62">
        <f t="shared" si="40"/>
        <v>7352595.111111111</v>
      </c>
      <c r="R130" s="62">
        <f t="shared" si="40"/>
        <v>7803460.1481481483</v>
      </c>
    </row>
    <row r="131" spans="4:18" ht="15.75" customHeight="1">
      <c r="D131" s="56" t="s">
        <v>163</v>
      </c>
      <c r="E131" s="25" t="str">
        <f t="shared" si="38"/>
        <v>(₦'000)</v>
      </c>
      <c r="F131" s="56" t="s">
        <v>164</v>
      </c>
      <c r="J131" s="40"/>
      <c r="K131" s="40"/>
      <c r="L131" s="53">
        <v>564099</v>
      </c>
      <c r="M131" s="53">
        <v>3152716</v>
      </c>
      <c r="N131" s="53">
        <v>2464168</v>
      </c>
      <c r="O131" s="62"/>
      <c r="P131" s="62"/>
      <c r="Q131" s="62"/>
      <c r="R131" s="62"/>
    </row>
    <row r="132" spans="4:18" ht="15.75" customHeight="1">
      <c r="D132" s="56" t="s">
        <v>165</v>
      </c>
      <c r="E132" s="25" t="str">
        <f t="shared" si="38"/>
        <v>(₦'000)</v>
      </c>
      <c r="F132" s="56" t="s">
        <v>164</v>
      </c>
      <c r="J132" s="40"/>
      <c r="K132" s="40"/>
      <c r="L132" s="53">
        <v>3000000</v>
      </c>
      <c r="M132" s="53">
        <v>10000000</v>
      </c>
      <c r="N132" s="53">
        <v>15646950</v>
      </c>
      <c r="O132" s="62">
        <f t="shared" ref="O132:R132" si="41">AVERAGE(L132:N132)</f>
        <v>9548983.333333334</v>
      </c>
      <c r="P132" s="62">
        <f t="shared" si="41"/>
        <v>11731977.777777778</v>
      </c>
      <c r="Q132" s="62">
        <f t="shared" si="41"/>
        <v>12309303.703703703</v>
      </c>
      <c r="R132" s="62">
        <f t="shared" si="41"/>
        <v>11196754.938271604</v>
      </c>
    </row>
    <row r="133" spans="4:18" ht="15.75" customHeight="1">
      <c r="D133" s="56" t="s">
        <v>166</v>
      </c>
      <c r="E133" s="25" t="str">
        <f t="shared" si="38"/>
        <v>(₦'000)</v>
      </c>
      <c r="F133" s="56" t="s">
        <v>164</v>
      </c>
      <c r="J133" s="40"/>
      <c r="K133" s="40"/>
      <c r="L133" s="53">
        <v>10000000</v>
      </c>
      <c r="M133" s="53">
        <v>15646950</v>
      </c>
      <c r="N133" s="53">
        <v>19645345</v>
      </c>
      <c r="O133" s="62">
        <f t="shared" ref="O133:R133" si="42">AVERAGE(L133:N133)</f>
        <v>15097431.666666666</v>
      </c>
      <c r="P133" s="62">
        <f t="shared" si="42"/>
        <v>16796575.555555556</v>
      </c>
      <c r="Q133" s="62">
        <f t="shared" si="42"/>
        <v>17179784.074074075</v>
      </c>
      <c r="R133" s="62">
        <f t="shared" si="42"/>
        <v>16357930.432098767</v>
      </c>
    </row>
    <row r="134" spans="4:18" ht="15.75" customHeight="1">
      <c r="J134" s="40"/>
      <c r="K134" s="40"/>
      <c r="L134" s="52"/>
      <c r="M134" s="52"/>
      <c r="N134" s="52"/>
      <c r="O134" s="62"/>
      <c r="P134" s="62"/>
      <c r="Q134" s="62"/>
      <c r="R134" s="62"/>
    </row>
    <row r="135" spans="4:18" ht="15.75" customHeight="1">
      <c r="J135" s="40"/>
      <c r="K135" s="40"/>
      <c r="L135" s="52"/>
      <c r="M135" s="52"/>
      <c r="N135" s="52"/>
      <c r="O135" s="40"/>
      <c r="P135" s="40"/>
      <c r="Q135" s="40"/>
      <c r="R135" s="40"/>
    </row>
    <row r="136" spans="4:18" ht="15.75" customHeight="1">
      <c r="J136" s="40"/>
      <c r="K136" s="40"/>
      <c r="L136" s="52"/>
      <c r="M136" s="52"/>
      <c r="N136" s="52"/>
      <c r="O136" s="40"/>
      <c r="P136" s="40"/>
      <c r="Q136" s="40"/>
      <c r="R136" s="40"/>
    </row>
    <row r="137" spans="4:18" ht="15.75" customHeight="1">
      <c r="J137" s="40"/>
      <c r="K137" s="40"/>
      <c r="L137" s="52"/>
      <c r="M137" s="52"/>
      <c r="N137" s="52"/>
      <c r="O137" s="40"/>
      <c r="P137" s="40"/>
      <c r="Q137" s="40"/>
      <c r="R137" s="40"/>
    </row>
    <row r="138" spans="4:18" ht="15.75" customHeight="1">
      <c r="J138" s="40"/>
      <c r="K138" s="40"/>
      <c r="L138" s="52"/>
      <c r="M138" s="52"/>
      <c r="N138" s="52"/>
      <c r="O138" s="40"/>
      <c r="P138" s="40"/>
      <c r="Q138" s="40"/>
      <c r="R138" s="40"/>
    </row>
    <row r="139" spans="4:18" ht="15.75" customHeight="1">
      <c r="J139" s="40"/>
      <c r="K139" s="40"/>
      <c r="L139" s="52"/>
      <c r="M139" s="52"/>
      <c r="N139" s="52"/>
      <c r="O139" s="40"/>
      <c r="P139" s="40"/>
      <c r="Q139" s="40"/>
      <c r="R139" s="40"/>
    </row>
    <row r="140" spans="4:18" ht="15.75" customHeight="1">
      <c r="J140" s="40"/>
      <c r="K140" s="40"/>
      <c r="L140" s="52"/>
      <c r="M140" s="52"/>
      <c r="N140" s="52"/>
      <c r="O140" s="40"/>
      <c r="P140" s="40"/>
      <c r="Q140" s="40"/>
      <c r="R140" s="40"/>
    </row>
    <row r="141" spans="4:18" ht="15.75" customHeight="1">
      <c r="J141" s="40"/>
      <c r="K141" s="40"/>
      <c r="L141" s="52"/>
      <c r="M141" s="52"/>
      <c r="N141" s="52"/>
      <c r="O141" s="40"/>
      <c r="P141" s="40"/>
      <c r="Q141" s="40"/>
      <c r="R141" s="40"/>
    </row>
    <row r="142" spans="4:18" ht="15.75" customHeight="1">
      <c r="J142" s="40"/>
      <c r="K142" s="40"/>
      <c r="L142" s="52"/>
      <c r="M142" s="52"/>
      <c r="N142" s="52"/>
      <c r="O142" s="40"/>
      <c r="P142" s="40"/>
      <c r="Q142" s="40"/>
      <c r="R142" s="40"/>
    </row>
    <row r="143" spans="4:18" ht="15.75" customHeight="1">
      <c r="J143" s="40"/>
      <c r="K143" s="40"/>
      <c r="L143" s="52"/>
      <c r="M143" s="52"/>
      <c r="N143" s="52"/>
      <c r="O143" s="40"/>
      <c r="P143" s="40"/>
      <c r="Q143" s="40"/>
      <c r="R143" s="40"/>
    </row>
    <row r="144" spans="4:18" ht="15.75" customHeight="1">
      <c r="J144" s="40"/>
      <c r="K144" s="40"/>
      <c r="L144" s="52"/>
      <c r="M144" s="52"/>
      <c r="N144" s="52"/>
      <c r="O144" s="40"/>
      <c r="P144" s="40"/>
      <c r="Q144" s="40"/>
      <c r="R144" s="40"/>
    </row>
    <row r="145" spans="10:18" ht="15.75" customHeight="1">
      <c r="J145" s="40"/>
      <c r="K145" s="40"/>
      <c r="L145" s="52"/>
      <c r="M145" s="52"/>
      <c r="N145" s="52"/>
      <c r="O145" s="40"/>
      <c r="P145" s="40"/>
      <c r="Q145" s="40"/>
      <c r="R145" s="40"/>
    </row>
    <row r="146" spans="10:18" ht="15.75" customHeight="1">
      <c r="J146" s="40"/>
      <c r="K146" s="40"/>
      <c r="L146" s="52"/>
      <c r="M146" s="52"/>
      <c r="N146" s="52"/>
      <c r="O146" s="40"/>
      <c r="P146" s="40"/>
      <c r="Q146" s="40"/>
      <c r="R146" s="40"/>
    </row>
    <row r="147" spans="10:18" ht="15.75" customHeight="1">
      <c r="J147" s="40"/>
      <c r="K147" s="40"/>
      <c r="L147" s="52"/>
      <c r="M147" s="52"/>
      <c r="N147" s="52"/>
      <c r="O147" s="40"/>
      <c r="P147" s="40"/>
      <c r="Q147" s="40"/>
      <c r="R147" s="40"/>
    </row>
    <row r="148" spans="10:18" ht="15.75" customHeight="1">
      <c r="J148" s="40"/>
      <c r="K148" s="40"/>
      <c r="L148" s="52"/>
      <c r="M148" s="52"/>
      <c r="N148" s="52"/>
      <c r="O148" s="40"/>
      <c r="P148" s="40"/>
      <c r="Q148" s="40"/>
      <c r="R148" s="40"/>
    </row>
    <row r="149" spans="10:18" ht="15.75" customHeight="1">
      <c r="J149" s="40"/>
      <c r="K149" s="40"/>
      <c r="L149" s="52"/>
      <c r="M149" s="52"/>
      <c r="N149" s="52"/>
      <c r="O149" s="40"/>
      <c r="P149" s="40"/>
      <c r="Q149" s="40"/>
      <c r="R149" s="40"/>
    </row>
    <row r="150" spans="10:18" ht="15.75" customHeight="1">
      <c r="J150" s="40"/>
      <c r="K150" s="40"/>
      <c r="L150" s="52"/>
      <c r="M150" s="52"/>
      <c r="N150" s="52"/>
      <c r="O150" s="40"/>
      <c r="P150" s="40"/>
      <c r="Q150" s="40"/>
      <c r="R150" s="40"/>
    </row>
    <row r="151" spans="10:18" ht="15.75" customHeight="1">
      <c r="J151" s="40"/>
      <c r="K151" s="40"/>
      <c r="L151" s="52"/>
      <c r="M151" s="52"/>
      <c r="N151" s="52"/>
      <c r="O151" s="40"/>
      <c r="P151" s="40"/>
      <c r="Q151" s="40"/>
      <c r="R151" s="40"/>
    </row>
    <row r="152" spans="10:18" ht="15.75" customHeight="1">
      <c r="J152" s="40"/>
      <c r="K152" s="40"/>
      <c r="L152" s="52"/>
      <c r="M152" s="52"/>
      <c r="N152" s="52"/>
      <c r="O152" s="40"/>
      <c r="P152" s="40"/>
      <c r="Q152" s="40"/>
      <c r="R152" s="40"/>
    </row>
    <row r="153" spans="10:18" ht="15.75" customHeight="1">
      <c r="J153" s="40"/>
      <c r="K153" s="40"/>
      <c r="L153" s="52"/>
      <c r="M153" s="52"/>
      <c r="N153" s="52"/>
      <c r="O153" s="40"/>
      <c r="P153" s="40"/>
      <c r="Q153" s="40"/>
      <c r="R153" s="40"/>
    </row>
    <row r="154" spans="10:18" ht="15.75" customHeight="1">
      <c r="J154" s="40"/>
      <c r="K154" s="40"/>
      <c r="L154" s="52"/>
      <c r="M154" s="52"/>
      <c r="N154" s="52"/>
      <c r="O154" s="40"/>
      <c r="P154" s="40"/>
      <c r="Q154" s="40"/>
      <c r="R154" s="40"/>
    </row>
    <row r="155" spans="10:18" ht="15.75" customHeight="1">
      <c r="J155" s="40"/>
      <c r="K155" s="40"/>
      <c r="L155" s="52"/>
      <c r="M155" s="52"/>
      <c r="N155" s="52"/>
      <c r="O155" s="40"/>
      <c r="P155" s="40"/>
      <c r="Q155" s="40"/>
      <c r="R155" s="40"/>
    </row>
    <row r="156" spans="10:18" ht="15.75" customHeight="1"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0:18" ht="15.75" customHeight="1"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0:18" ht="15.75" customHeight="1"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0:18" ht="15.75" customHeight="1"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0:18" ht="15.75" customHeight="1"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0:18" ht="15.75" customHeight="1"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0:18" ht="15.75" customHeight="1"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0:18" ht="15.75" customHeight="1"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0:18" ht="15.75" customHeight="1"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0:18" ht="15.75" customHeight="1"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0:18" ht="15.75" customHeight="1"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0:18" ht="15.75" customHeight="1"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0:18" ht="15.75" customHeight="1"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0:18" ht="15.75" customHeight="1"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0:18" ht="15.75" customHeight="1"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0:18" ht="15.75" customHeight="1"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0:18" ht="15.75" customHeight="1"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0:18" ht="15.75" customHeight="1"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0:18" ht="15.75" customHeight="1"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0:18" ht="15.75" customHeight="1"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0:18" ht="15.75" customHeight="1"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0:18" ht="15.75" customHeight="1"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0:18" ht="15.75" customHeight="1"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0:18" ht="15.75" customHeight="1"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0:18" ht="15.75" customHeight="1"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0:18" ht="15.75" customHeight="1"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0:18" ht="15.75" customHeight="1"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0:18" ht="15.75" customHeight="1"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0:18" ht="15.75" customHeight="1"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0:18" ht="15.75" customHeight="1"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0:18" ht="15.75" customHeight="1"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0:18" ht="15.75" customHeight="1"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0:18" ht="15.75" customHeight="1"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0:18" ht="15.75" customHeight="1"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0:18" ht="15.75" customHeight="1"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0:18" ht="15.75" customHeight="1"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0:18" ht="15.75" customHeight="1"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0:18" ht="15.75" customHeight="1"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0:18" ht="15.75" customHeight="1"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0:18" ht="15.75" customHeight="1"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0:18" ht="15.75" customHeight="1"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0:18" ht="15.75" customHeight="1"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0:18" ht="15.75" customHeight="1"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0:18" ht="15.75" customHeight="1"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0:18" ht="15.75" customHeight="1"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0:18" ht="15.75" customHeight="1"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0:18" ht="15.75" customHeight="1"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0:18" ht="15.75" customHeight="1"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0:18" ht="15.75" customHeight="1"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0:18" ht="15.75" customHeight="1"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0:18" ht="15.75" customHeight="1"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0:18" ht="15.75" customHeight="1"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0:18" ht="15.75" customHeight="1"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0:18" ht="15.75" customHeight="1"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0:18" ht="15.75" customHeight="1"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0:18" ht="15.75" customHeight="1"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0:18" ht="15.75" customHeight="1"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0:18" ht="15.75" customHeight="1"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0:18" ht="15.75" customHeight="1"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0:18" ht="15.75" customHeight="1"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0:18" ht="15.75" customHeight="1"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0:18" ht="15.75" customHeight="1"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0:18" ht="15.75" customHeight="1"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0:18" ht="15.75" customHeight="1"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0:18" ht="15.75" customHeight="1"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0:18" ht="15.75" customHeight="1"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0:18" ht="15.75" customHeight="1"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0:18" ht="15.75" customHeight="1"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0:18" ht="15.75" customHeight="1"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0:18" ht="15.75" customHeight="1"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0:18" ht="15.75" customHeight="1"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0:18" ht="15.75" customHeight="1"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0:18" ht="15.75" customHeight="1"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0:18" ht="15.75" customHeight="1"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0:18" ht="15.75" customHeight="1"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0:18" ht="15.75" customHeight="1"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0:18" ht="15.75" customHeight="1"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0:18" ht="15.75" customHeight="1"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0:18" ht="15.75" customHeight="1"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0:18" ht="15.75" customHeight="1"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0:18" ht="15.75" customHeight="1"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0:18" ht="15.75" customHeight="1"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0:18" ht="15.75" customHeight="1"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0:18" ht="15.75" customHeight="1"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0:18" ht="15.75" customHeight="1"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0:18" ht="15.75" customHeight="1"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0:18" ht="15.75" customHeight="1"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0:18" ht="15.75" customHeight="1"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0:18" ht="15.75" customHeight="1"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0:18" ht="15.75" customHeight="1"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0:18" ht="15.75" customHeight="1"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0:18" ht="15.75" customHeight="1"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0:18" ht="15.75" customHeight="1"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0:18" ht="15.75" customHeight="1"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0:18" ht="15.75" customHeight="1"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0:18" ht="15.75" customHeight="1"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0:18" ht="15.75" customHeight="1"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0:18" ht="15.75" customHeight="1"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0:18" ht="15.75" customHeight="1"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0:18" ht="15.75" customHeight="1"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0:18" ht="15.75" customHeight="1"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0:18" ht="15.75" customHeight="1"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0:18" ht="15.75" customHeight="1"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0:18" ht="15.75" customHeight="1"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0:18" ht="15.75" customHeight="1"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0:18" ht="15.75" customHeight="1"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0:18" ht="15.75" customHeight="1"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0:18" ht="15.75" customHeight="1"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0:18" ht="15.75" customHeight="1"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0:18" ht="15.75" customHeight="1"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0:18" ht="15.75" customHeight="1"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0:18" ht="15.75" customHeight="1"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0:18" ht="15.75" customHeight="1"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0:18" ht="15.75" customHeight="1"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0:18" ht="15.75" customHeight="1"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0:18" ht="15.75" customHeight="1"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0:18" ht="15.75" customHeight="1"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0:18" ht="15.75" customHeight="1"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0:18" ht="15.75" customHeight="1"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0:18" ht="15.75" customHeight="1"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0:18" ht="15.75" customHeight="1"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0:18" ht="15.75" customHeight="1"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0:18" ht="15.75" customHeight="1"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0:18" ht="15.75" customHeight="1"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0:18" ht="15.75" customHeight="1"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0:18" ht="15.75" customHeight="1"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0:18" ht="15.75" customHeight="1"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0:18" ht="15.75" customHeight="1"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0:18" ht="15.75" customHeight="1"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0:18" ht="15.75" customHeight="1"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0:18" ht="15.75" customHeight="1"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0:18" ht="15.75" customHeight="1"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0:18" ht="15.75" customHeight="1"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0:18" ht="15.75" customHeight="1"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0:18" ht="15.75" customHeight="1"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0:18" ht="15.75" customHeight="1"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0:18" ht="15.75" customHeight="1"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0:18" ht="15.75" customHeight="1"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0:18" ht="15.75" customHeight="1"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0:18" ht="15.75" customHeight="1"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0:18" ht="15.75" customHeight="1"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0:18" ht="15.75" customHeight="1"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0:18" ht="15.75" customHeight="1"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0:18" ht="15.75" customHeight="1"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0:18" ht="15.75" customHeight="1"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0:18" ht="15.75" customHeight="1"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0:18" ht="15.75" customHeight="1"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0:18" ht="15.75" customHeight="1"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0:18" ht="15.75" customHeight="1"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0:18" ht="15.75" customHeight="1"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0:18" ht="15.75" customHeight="1"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0:18" ht="15.75" customHeight="1"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0:18" ht="15.75" customHeight="1"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0:18" ht="15.75" customHeight="1"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0:18" ht="15.75" customHeight="1"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0:18" ht="15.75" customHeight="1"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0:18" ht="15.75" customHeight="1"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0:18" ht="15.75" customHeight="1"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0:18" ht="15.75" customHeight="1"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0:18" ht="15.75" customHeight="1"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0:18" ht="15.75" customHeight="1"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0:18" ht="15.75" customHeight="1"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0:18" ht="15.75" customHeight="1"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0:18" ht="15.75" customHeight="1"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0:18" ht="15.75" customHeight="1"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0:18" ht="15.75" customHeight="1"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0:18" ht="15.75" customHeight="1"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0:18" ht="15.75" customHeight="1"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0:18" ht="15.75" customHeight="1"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0:18" ht="15.75" customHeight="1"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0:18" ht="15.75" customHeight="1"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0:18" ht="15.75" customHeight="1"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0:18" ht="15.75" customHeight="1"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0:18" ht="15.75" customHeight="1"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0:18" ht="15.75" customHeight="1"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0:18" ht="15.75" customHeight="1"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0:18" ht="15.75" customHeight="1"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0:18" ht="15.75" customHeight="1"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0:18" ht="15.75" customHeight="1"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0:18" ht="15.75" customHeight="1"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0:18" ht="15.75" customHeight="1"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0:18" ht="15.75" customHeight="1"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0:18" ht="15.75" customHeight="1"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0:18" ht="15.75" customHeight="1"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0:18" ht="15.75" customHeight="1"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0:18" ht="15.75" customHeight="1"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0:18" ht="15.75" customHeight="1"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0:18" ht="15.75" customHeight="1"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0:18" ht="15.75" customHeight="1"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0:18" ht="15.75" customHeight="1"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0:18" ht="15.75" customHeight="1"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0:18" ht="15.75" customHeight="1"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0:18" ht="15.75" customHeight="1"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0:18" ht="15.75" customHeight="1"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0:18" ht="15.75" customHeight="1"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0:18" ht="15.75" customHeight="1"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0:18" ht="15.75" customHeight="1"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0:18" ht="15.75" customHeight="1"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0:18" ht="15.75" customHeight="1"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0:18" ht="15.75" customHeight="1"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0:18" ht="15.75" customHeight="1"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0:18" ht="15.75" customHeight="1"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0:18" ht="15.75" customHeight="1"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0:18" ht="15.75" customHeight="1"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0:18" ht="15.75" customHeight="1"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0:18" ht="15.75" customHeight="1"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0:18" ht="15.75" customHeight="1"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0:18" ht="15.75" customHeight="1"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0:18" ht="15.75" customHeight="1"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0:18" ht="15.75" customHeight="1"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0:18" ht="15.75" customHeight="1"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0:18" ht="15.75" customHeight="1"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0:18" ht="15.75" customHeight="1"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0:18" ht="15.75" customHeight="1"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0:18" ht="15.75" customHeight="1"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0:18" ht="15.75" customHeight="1"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0:18" ht="15.75" customHeight="1"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0:18" ht="15.75" customHeight="1"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0:18" ht="15.75" customHeight="1"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0:18" ht="15.75" customHeight="1"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0:18" ht="15.75" customHeight="1"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0:18" ht="15.75" customHeight="1"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0:18" ht="15.75" customHeight="1"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0:18" ht="15.75" customHeight="1"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0:18" ht="15.75" customHeight="1"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0:18" ht="15.75" customHeight="1"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0:18" ht="15.75" customHeight="1"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0:18" ht="15.75" customHeight="1"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0:18" ht="15.75" customHeight="1"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0:18" ht="15.75" customHeight="1"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0:18" ht="15.75" customHeight="1"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0:18" ht="15.75" customHeight="1"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0:18" ht="15.75" customHeight="1"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0:18" ht="15.75" customHeight="1"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0:18" ht="15.75" customHeight="1"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0:18" ht="15.75" customHeight="1"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0:18" ht="15.75" customHeight="1"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0:18" ht="15.75" customHeight="1"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0:18" ht="15.75" customHeight="1"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0:18" ht="15.75" customHeight="1"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0:18" ht="15.75" customHeight="1"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0:18" ht="15.75" customHeight="1"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0:18" ht="15.75" customHeight="1"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0:18" ht="15.75" customHeight="1"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0:18" ht="15.75" customHeight="1"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0:18" ht="15.75" customHeight="1"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0:18" ht="15.75" customHeight="1"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0:18" ht="15.75" customHeight="1"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0:18" ht="15.75" customHeight="1"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0:18" ht="15.75" customHeight="1"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0:18" ht="15.75" customHeight="1"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0:18" ht="15.75" customHeight="1"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0:18" ht="15.75" customHeight="1"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0:18" ht="15.75" customHeight="1"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0:18" ht="15.75" customHeight="1"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0:18" ht="15.75" customHeight="1"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0:18" ht="15.75" customHeight="1"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0:18" ht="15.75" customHeight="1"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0:18" ht="15.75" customHeight="1"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0:18" ht="15.75" customHeight="1"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0:18" ht="15.75" customHeight="1"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0:18" ht="15.75" customHeight="1"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0:18" ht="15.75" customHeight="1"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0:18" ht="15.75" customHeight="1"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0:18" ht="15.75" customHeight="1"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0:18" ht="15.75" customHeight="1"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0:18" ht="15.75" customHeight="1"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0:18" ht="15.75" customHeight="1"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0:18" ht="15.75" customHeight="1"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0:18" ht="15.75" customHeight="1"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0:18" ht="15.75" customHeight="1"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0:18" ht="15.75" customHeight="1"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0:18" ht="15.75" customHeight="1"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0:18" ht="15.75" customHeight="1"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0:18" ht="15.75" customHeight="1"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0:18" ht="15.75" customHeight="1"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0:18" ht="15.75" customHeight="1"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0:18" ht="15.75" customHeight="1"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0:18" ht="15.75" customHeight="1"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0:18" ht="15.75" customHeight="1"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0:18" ht="15.75" customHeight="1"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0:18" ht="15.75" customHeight="1"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0:18" ht="15.75" customHeight="1"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0:18" ht="15.75" customHeight="1"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0:18" ht="15.75" customHeight="1"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0:18" ht="15.75" customHeight="1"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0:18" ht="15.75" customHeight="1"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0:18" ht="15.75" customHeight="1"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0:18" ht="15.75" customHeight="1"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0:18" ht="15.75" customHeight="1"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0:18" ht="15.75" customHeight="1"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0:18" ht="15.75" customHeight="1"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0:18" ht="15.75" customHeight="1"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0:18" ht="15.75" customHeight="1"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0:18" ht="15.75" customHeight="1"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0:18" ht="15.75" customHeight="1"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0:18" ht="15.75" customHeight="1"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0:18" ht="15.75" customHeight="1"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0:18" ht="15.75" customHeight="1"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0:18" ht="15.75" customHeight="1"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0:18" ht="15.75" customHeight="1"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0:18" ht="15.75" customHeight="1"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0:18" ht="15.75" customHeight="1"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0:18" ht="15.75" customHeight="1"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0:18" ht="15.75" customHeight="1"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0:18" ht="15.75" customHeight="1"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0:18" ht="15.75" customHeight="1"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0:18" ht="15.75" customHeight="1"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0:18" ht="15.75" customHeight="1"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0:18" ht="15.75" customHeight="1"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0:18" ht="15.75" customHeight="1"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0:18" ht="15.75" customHeight="1"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0:18" ht="15.75" customHeight="1"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0:18" ht="15.75" customHeight="1"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0:18" ht="15.75" customHeight="1"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0:18" ht="15.75" customHeight="1"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0:18" ht="15.75" customHeight="1"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0:18" ht="15.75" customHeight="1"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0:18" ht="15.75" customHeight="1"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0:18" ht="15.75" customHeight="1"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0:18" ht="15.75" customHeight="1"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0:18" ht="15.75" customHeight="1"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0:18" ht="15.75" customHeight="1"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0:18" ht="15.75" customHeight="1"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0:18" ht="15.75" customHeight="1"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0:18" ht="15.75" customHeight="1"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0:18" ht="15.75" customHeight="1"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0:18" ht="15.75" customHeight="1"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0:18" ht="15.75" customHeight="1"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0:18" ht="15.75" customHeight="1"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0:18" ht="15.75" customHeight="1"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0:18" ht="15.75" customHeight="1"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0:18" ht="15.75" customHeight="1"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0:18" ht="15.75" customHeight="1"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0:18" ht="15.75" customHeight="1"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0:18" ht="15.75" customHeight="1"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0:18" ht="15.75" customHeight="1"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0:18" ht="15.75" customHeight="1"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0:18" ht="15.75" customHeight="1"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0:18" ht="15.75" customHeight="1"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0:18" ht="15.75" customHeight="1"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0:18" ht="15.75" customHeight="1"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0:18" ht="15.75" customHeight="1"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0:18" ht="15.75" customHeight="1"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0:18" ht="15.75" customHeight="1"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0:18" ht="15.75" customHeight="1"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0:18" ht="15.75" customHeight="1"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0:18" ht="15.75" customHeight="1"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0:18" ht="15.75" customHeight="1"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0:18" ht="15.75" customHeight="1"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0:18" ht="15.75" customHeight="1"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0:18" ht="15.75" customHeight="1"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0:18" ht="15.75" customHeight="1"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0:18" ht="15.75" customHeight="1"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0:18" ht="15.75" customHeight="1"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0:18" ht="15.75" customHeight="1"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0:18" ht="15.75" customHeight="1"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0:18" ht="15.75" customHeight="1"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0:18" ht="15.75" customHeight="1"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0:18" ht="15.75" customHeight="1"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0:18" ht="15.75" customHeight="1"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0:18" ht="15.75" customHeight="1"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0:18" ht="15.75" customHeight="1"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0:18" ht="15.75" customHeight="1"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0:18" ht="15.75" customHeight="1"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0:18" ht="15.75" customHeight="1"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0:18" ht="15.75" customHeight="1"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0:18" ht="15.75" customHeight="1"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0:18" ht="15.75" customHeight="1"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0:18" ht="15.75" customHeight="1"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0:18" ht="15.75" customHeight="1"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0:18" ht="15.75" customHeight="1"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0:18" ht="15.75" customHeight="1"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0:18" ht="15.75" customHeight="1"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0:18" ht="15.75" customHeight="1"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0:18" ht="15.75" customHeight="1"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0:18" ht="15.75" customHeight="1"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0:18" ht="15.75" customHeight="1"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0:18" ht="15.75" customHeight="1"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0:18" ht="15.75" customHeight="1"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0:18" ht="15.75" customHeight="1"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0:18" ht="15.75" customHeight="1"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0:18" ht="15.75" customHeight="1"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0:18" ht="15.75" customHeight="1"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0:18" ht="15.75" customHeight="1"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0:18" ht="15.75" customHeight="1"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0:18" ht="15.75" customHeight="1"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0:18" ht="15.75" customHeight="1"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0:18" ht="15.75" customHeight="1"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0:18" ht="15.75" customHeight="1"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0:18" ht="15.75" customHeight="1"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0:18" ht="15.75" customHeight="1"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0:18" ht="15.75" customHeight="1"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0:18" ht="15.75" customHeight="1"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0:18" ht="15.75" customHeight="1"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0:18" ht="15.75" customHeight="1"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0:18" ht="15.75" customHeight="1"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0:18" ht="15.75" customHeight="1"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0:18" ht="15.75" customHeight="1"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0:18" ht="15.75" customHeight="1"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0:18" ht="15.75" customHeight="1"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0:18" ht="15.75" customHeight="1"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0:18" ht="15.75" customHeight="1"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0:18" ht="15.75" customHeight="1"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0:18" ht="15.75" customHeight="1"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0:18" ht="15.75" customHeight="1"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0:18" ht="15.75" customHeight="1"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0:18" ht="15.75" customHeight="1"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0:18" ht="15.75" customHeight="1"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0:18" ht="15.75" customHeight="1"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0:18" ht="15.75" customHeight="1"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0:18" ht="15.75" customHeight="1"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0:18" ht="15.75" customHeight="1"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0:18" ht="15.75" customHeight="1"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0:18" ht="15.75" customHeight="1"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0:18" ht="15.75" customHeight="1"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0:18" ht="15.75" customHeight="1"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0:18" ht="15.75" customHeight="1"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0:18" ht="15.75" customHeight="1"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0:18" ht="15.75" customHeight="1"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0:18" ht="15.75" customHeight="1"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0:18" ht="15.75" customHeight="1"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0:18" ht="15.75" customHeight="1"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0:18" ht="15.75" customHeight="1"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0:18" ht="15.75" customHeight="1"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0:18" ht="15.75" customHeight="1"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0:18" ht="15.75" customHeight="1"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0:18" ht="15.75" customHeight="1"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0:18" ht="15.75" customHeight="1"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0:18" ht="15.75" customHeight="1"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0:18" ht="15.75" customHeight="1"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0:18" ht="15.75" customHeight="1"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0:18" ht="15.75" customHeight="1"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0:18" ht="15.75" customHeight="1"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0:18" ht="15.75" customHeight="1"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0:18" ht="15.75" customHeight="1"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0:18" ht="15.75" customHeight="1"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0:18" ht="15.75" customHeight="1"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0:18" ht="15.75" customHeight="1"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0:18" ht="15.75" customHeight="1"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0:18" ht="15.75" customHeight="1"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0:18" ht="15.75" customHeight="1"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0:18" ht="15.75" customHeight="1"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0:18" ht="15.75" customHeight="1"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0:18" ht="15.75" customHeight="1"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0:18" ht="15.75" customHeight="1"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0:18" ht="15.75" customHeight="1"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0:18" ht="15.75" customHeight="1"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0:18" ht="15.75" customHeight="1"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0:18" ht="15.75" customHeight="1"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0:18" ht="15.75" customHeight="1"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0:18" ht="15.75" customHeight="1"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0:18" ht="15.75" customHeight="1"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0:18" ht="15.75" customHeight="1"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0:18" ht="15.75" customHeight="1"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0:18" ht="15.75" customHeight="1"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0:18" ht="15.75" customHeight="1"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0:18" ht="15.75" customHeight="1"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0:18" ht="15.75" customHeight="1"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0:18" ht="15.75" customHeight="1"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0:18" ht="15.75" customHeight="1"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0:18" ht="15.75" customHeight="1"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0:18" ht="15.75" customHeight="1"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0:18" ht="15.75" customHeight="1"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0:18" ht="15.75" customHeight="1"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0:18" ht="15.75" customHeight="1"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0:18" ht="15.75" customHeight="1"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0:18" ht="15.75" customHeight="1"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0:18" ht="15.75" customHeight="1"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0:18" ht="15.75" customHeight="1"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0:18" ht="15.75" customHeight="1"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0:18" ht="15.75" customHeight="1"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0:18" ht="15.75" customHeight="1"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0:18" ht="15.75" customHeight="1"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0:18" ht="15.75" customHeight="1"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0:18" ht="15.75" customHeight="1"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0:18" ht="15.75" customHeight="1"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0:18" ht="15.75" customHeight="1"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0:18" ht="15.75" customHeight="1"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0:18" ht="15.75" customHeight="1"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0:18" ht="15.75" customHeight="1"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0:18" ht="15.75" customHeight="1"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0:18" ht="15.75" customHeight="1"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0:18" ht="15.75" customHeight="1"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0:18" ht="15.75" customHeight="1"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0:18" ht="15.75" customHeight="1"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0:18" ht="15.75" customHeight="1"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0:18" ht="15.75" customHeight="1"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0:18" ht="15.75" customHeight="1"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0:18" ht="15.75" customHeight="1"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0:18" ht="15.75" customHeight="1"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0:18" ht="15.75" customHeight="1"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0:18" ht="15.75" customHeight="1"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0:18" ht="15.75" customHeight="1"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0:18" ht="15.75" customHeight="1"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0:18" ht="15.75" customHeight="1"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0:18" ht="15.75" customHeight="1"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0:18" ht="15.75" customHeight="1"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0:18" ht="15.75" customHeight="1"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0:18" ht="15.75" customHeight="1"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0:18" ht="15.75" customHeight="1"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0:18" ht="15.75" customHeight="1"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0:18" ht="15.75" customHeight="1"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0:18" ht="15.75" customHeight="1"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0:18" ht="15.75" customHeight="1"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0:18" ht="15.75" customHeight="1"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0:18" ht="15.75" customHeight="1"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0:18" ht="15.75" customHeight="1"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0:18" ht="15.75" customHeight="1"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0:18" ht="15.75" customHeight="1"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0:18" ht="15.75" customHeight="1"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0:18" ht="15.75" customHeight="1"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0:18" ht="15.75" customHeight="1"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0:18" ht="15.75" customHeight="1"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0:18" ht="15.75" customHeight="1"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0:18" ht="15.75" customHeight="1"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0:18" ht="15.75" customHeight="1"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0:18" ht="15.75" customHeight="1"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0:18" ht="15.75" customHeight="1"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0:18" ht="15.75" customHeight="1"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0:18" ht="15.75" customHeight="1"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0:18" ht="15.75" customHeight="1"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0:18" ht="15.75" customHeight="1"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0:18" ht="15.75" customHeight="1"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0:18" ht="15.75" customHeight="1"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0:18" ht="15.75" customHeight="1"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0:18" ht="15.75" customHeight="1"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0:18" ht="15.75" customHeight="1"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0:18" ht="15.75" customHeight="1"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0:18" ht="15.75" customHeight="1"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0:18" ht="15.75" customHeight="1"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0:18" ht="15.75" customHeight="1"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0:18" ht="15.75" customHeight="1"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0:18" ht="15.75" customHeight="1"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0:18" ht="15.75" customHeight="1"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0:18" ht="15.75" customHeight="1"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0:18" ht="15.75" customHeight="1"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0:18" ht="15.75" customHeight="1"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0:18" ht="15.75" customHeight="1"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0:18" ht="15.75" customHeight="1"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0:18" ht="15.75" customHeight="1"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0:18" ht="15.75" customHeight="1"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0:18" ht="15.75" customHeight="1"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0:18" ht="15.75" customHeight="1"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0:18" ht="15.75" customHeight="1"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0:18" ht="15.75" customHeight="1"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0:18" ht="15.75" customHeight="1"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0:18" ht="15.75" customHeight="1"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0:18" ht="15.75" customHeight="1"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0:18" ht="15.75" customHeight="1"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0:18" ht="15.75" customHeight="1"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0:18" ht="15.75" customHeight="1"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0:18" ht="15.75" customHeight="1"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0:18" ht="15.75" customHeight="1"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0:18" ht="15.75" customHeight="1"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0:18" ht="15.75" customHeight="1"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0:18" ht="15.75" customHeight="1"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0:18" ht="15.75" customHeight="1"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0:18" ht="15.75" customHeight="1"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0:18" ht="15.75" customHeight="1"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0:18" ht="15.75" customHeight="1"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0:18" ht="15.75" customHeight="1"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0:18" ht="15.75" customHeight="1"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0:18" ht="15.75" customHeight="1"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0:18" ht="15.75" customHeight="1"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0:18" ht="15.75" customHeight="1"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0:18" ht="15.75" customHeight="1"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0:18" ht="15.75" customHeight="1"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0:18" ht="15.75" customHeight="1"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0:18" ht="15.75" customHeight="1"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0:18" ht="15.75" customHeight="1"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0:18" ht="15.75" customHeight="1"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0:18" ht="15.75" customHeight="1"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0:18" ht="15.75" customHeight="1"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0:18" ht="15.75" customHeight="1"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0:18" ht="15.75" customHeight="1"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0:18" ht="15.75" customHeight="1"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0:18" ht="15.75" customHeight="1"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0:18" ht="15.75" customHeight="1"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0:18" ht="15.75" customHeight="1"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0:18" ht="15.75" customHeight="1"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0:18" ht="15.75" customHeight="1"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0:18" ht="15.75" customHeight="1"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0:18" ht="15.75" customHeight="1"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0:18" ht="15.75" customHeight="1"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0:18" ht="15.75" customHeight="1"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0:18" ht="15.75" customHeight="1"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0:18" ht="15.75" customHeight="1"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0:18" ht="15.75" customHeight="1"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0:18" ht="15.75" customHeight="1"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0:18" ht="15.75" customHeight="1"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0:18" ht="15.75" customHeight="1"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0:18" ht="15.75" customHeight="1"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0:18" ht="15.75" customHeight="1"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0:18" ht="15.75" customHeight="1"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0:18" ht="15.75" customHeight="1"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0:18" ht="15.75" customHeight="1"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0:18" ht="15.75" customHeight="1"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0:18" ht="15.75" customHeight="1"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0:18" ht="15.75" customHeight="1"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0:18" ht="15.75" customHeight="1"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0:18" ht="15.75" customHeight="1"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0:18" ht="15.75" customHeight="1"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0:18" ht="15.75" customHeight="1"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0:18" ht="15.75" customHeight="1"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0:18" ht="15.75" customHeight="1"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0:18" ht="15.75" customHeight="1"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0:18" ht="15.75" customHeight="1"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0:18" ht="15.75" customHeight="1"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0:18" ht="15.75" customHeight="1"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0:18" ht="15.75" customHeight="1"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0:18" ht="15.75" customHeight="1"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0:18" ht="15.75" customHeight="1"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0:18" ht="15.75" customHeight="1"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0:18" ht="15.75" customHeight="1"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0:18" ht="15.75" customHeight="1"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0:18" ht="15.75" customHeight="1"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0:18" ht="15.75" customHeight="1"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0:18" ht="15.75" customHeight="1"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0:18" ht="15.75" customHeight="1"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0:18" ht="15.75" customHeight="1"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0:18" ht="15.75" customHeight="1"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0:18" ht="15.75" customHeight="1"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0:18" ht="15.75" customHeight="1"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0:18" ht="15.75" customHeight="1"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0:18" ht="15.75" customHeight="1"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0:18" ht="15.75" customHeight="1"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0:18" ht="15.75" customHeight="1"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0:18" ht="15.75" customHeight="1"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0:18" ht="15.75" customHeight="1"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0:18" ht="15.75" customHeight="1"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0:18" ht="15.75" customHeight="1"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0:18" ht="15.75" customHeight="1"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0:18" ht="15.75" customHeight="1"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0:18" ht="15.75" customHeight="1"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0:18" ht="15.75" customHeight="1"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0:18" ht="15.75" customHeight="1"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0:18" ht="15.75" customHeight="1"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0:18" ht="15.75" customHeight="1"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0:18" ht="15.75" customHeight="1"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0:18" ht="15.75" customHeight="1"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0:18" ht="15.75" customHeight="1"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0:18" ht="15.75" customHeight="1"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0:18" ht="15.75" customHeight="1"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0:18" ht="15.75" customHeight="1"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0:18" ht="15.75" customHeight="1"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0:18" ht="15.75" customHeight="1"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0:18" ht="15.75" customHeight="1"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0:18" ht="15.75" customHeight="1"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0:18" ht="15.75" customHeight="1"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0:18" ht="15.75" customHeight="1"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0:18" ht="15.75" customHeight="1"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0:18" ht="15.75" customHeight="1"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0:18" ht="15.75" customHeight="1"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0:18" ht="15.75" customHeight="1"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0:18" ht="15.75" customHeight="1"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0:18" ht="15.75" customHeight="1"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0:18" ht="15.75" customHeight="1"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0:18" ht="15.75" customHeight="1"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0:18" ht="15.75" customHeight="1"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0:18" ht="15.75" customHeight="1"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0:18" ht="15.75" customHeight="1"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0:18" ht="15.75" customHeight="1"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0:18" ht="15.75" customHeight="1"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0:18" ht="15.75" customHeight="1"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0:18" ht="15.75" customHeight="1"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0:18" ht="15.75" customHeight="1"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0:18" ht="15.75" customHeight="1"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0:18" ht="15.75" customHeight="1"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0:18" ht="15.75" customHeight="1"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0:18" ht="15.75" customHeight="1"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0:18" ht="15.75" customHeight="1"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0:18" ht="15.75" customHeight="1"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0:18" ht="15.75" customHeight="1"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0:18" ht="15.75" customHeight="1"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0:18" ht="15.75" customHeight="1"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0:18" ht="15.75" customHeight="1"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0:18" ht="15.75" customHeight="1"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0:18" ht="15.75" customHeight="1"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0:18" ht="15.75" customHeight="1"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0:18" ht="15.75" customHeight="1"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0:18" ht="15.75" customHeight="1"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0:18" ht="15.75" customHeight="1"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0:18" ht="15.75" customHeight="1"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0:18" ht="15.75" customHeight="1"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0:18" ht="15.75" customHeight="1"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0:18" ht="15.75" customHeight="1"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0:18" ht="15.75" customHeight="1"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0:18" ht="15.75" customHeight="1"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0:18" ht="15.75" customHeight="1"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0:18" ht="15.75" customHeight="1"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0:18" ht="15.75" customHeight="1"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0:18" ht="15.75" customHeight="1"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0:18" ht="15.75" customHeight="1"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0:18" ht="15.75" customHeight="1"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0:18" ht="15.75" customHeight="1"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0:18" ht="15.75" customHeight="1"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0:18" ht="15.75" customHeight="1"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0:18" ht="15.75" customHeight="1"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0:18" ht="15.75" customHeight="1"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0:18" ht="15.75" customHeight="1"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0:18" ht="15.75" customHeight="1"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0:18" ht="15.75" customHeight="1"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0:18" ht="15.75" customHeight="1"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0:18" ht="15.75" customHeight="1"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0:18" ht="15.75" customHeight="1"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0:18" ht="15.75" customHeight="1"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0:18" ht="15.75" customHeight="1"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0:18" ht="15.75" customHeight="1"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0:18" ht="15.75" customHeight="1"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0:18" ht="15.75" customHeight="1"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0:18" ht="15.75" customHeight="1"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0:18" ht="15.75" customHeight="1"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0:18" ht="15.75" customHeight="1"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0:18" ht="15.75" customHeight="1"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0:18" ht="15.75" customHeight="1"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0:18" ht="15.75" customHeight="1"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0:18" ht="15.75" customHeight="1"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0:18" ht="15.75" customHeight="1"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0:18" ht="15.75" customHeight="1"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0:18" ht="15.75" customHeight="1"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0:18" ht="15.75" customHeight="1"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0:18" ht="15.75" customHeight="1"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0:18" ht="15.75" customHeight="1"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0:18" ht="15.75" customHeight="1"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0:18" ht="15.75" customHeight="1"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0:18" ht="15.75" customHeight="1"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0:18" ht="15.75" customHeight="1"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0:18" ht="15.75" customHeight="1"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0:18" ht="15.75" customHeight="1"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0:18" ht="15.75" customHeight="1"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0:18" ht="15.75" customHeight="1"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0:18" ht="15.75" customHeight="1"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0:18" ht="15.75" customHeight="1"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0:18" ht="15.75" customHeight="1"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0:18" ht="15.75" customHeight="1"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0:18" ht="15.75" customHeight="1"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0:18" ht="15.75" customHeight="1"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0:18" ht="15.75" customHeight="1"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0:18" ht="15.75" customHeight="1"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0:18" ht="15.75" customHeight="1"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0:18" ht="15.75" customHeight="1"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0:18" ht="15.75" customHeight="1"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0:18" ht="15.75" customHeight="1"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0:18" ht="15.75" customHeight="1"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0:18" ht="15.75" customHeight="1"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0:18" ht="15.75" customHeight="1"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0:18" ht="15.75" customHeight="1"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0:18" ht="15.75" customHeight="1"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0:18" ht="15.75" customHeight="1"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0:18" ht="15.75" customHeight="1"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0:18" ht="15.75" customHeight="1"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0:18" ht="15.75" customHeight="1"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0:18" ht="15.75" customHeight="1"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0:18" ht="15.75" customHeight="1"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0:18" ht="15.75" customHeight="1"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0:18" ht="15.75" customHeight="1"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0:18" ht="15.75" customHeight="1"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0:18" ht="15.75" customHeight="1"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0:18" ht="15.75" customHeight="1"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0:18" ht="15.75" customHeight="1"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0:18" ht="15.75" customHeight="1"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0:18" ht="15.75" customHeight="1"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0:18" ht="15.75" customHeight="1"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0:18" ht="15.75" customHeight="1"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0:18" ht="15.75" customHeight="1"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0:18" ht="15.75" customHeight="1"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0:18" ht="15.75" customHeight="1"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0:18" ht="15.75" customHeight="1"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0:18" ht="15.75" customHeight="1"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0:18" ht="15.75" customHeight="1"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0:18" ht="15.75" customHeight="1"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0:18" ht="15.75" customHeight="1"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0:18" ht="15.75" customHeight="1"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0:18" ht="15.75" customHeight="1"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0:18" ht="15.75" customHeight="1"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0:18" ht="15.75" customHeight="1"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0:18" ht="15.75" customHeight="1"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0:18" ht="15.75" customHeight="1"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0:18" ht="15.75" customHeight="1"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0:18" ht="15.75" customHeight="1"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0:18" ht="15.75" customHeight="1"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0:18" ht="15.75" customHeight="1"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0:18" ht="15.75" customHeight="1"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0:18" ht="15.75" customHeight="1"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0:18" ht="15.75" customHeight="1"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0:18" ht="15.75" customHeight="1"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0:18" ht="15.75" customHeight="1"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0:18" ht="15.75" customHeight="1"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0:18" ht="15.75" customHeight="1"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0:18" ht="15.75" customHeight="1"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0:18" ht="15.75" customHeight="1"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0:18" ht="15.75" customHeight="1"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0:18" ht="15.75" customHeight="1"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0:18" ht="15.75" customHeight="1"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0:18" ht="15.75" customHeight="1"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0:18" ht="15.75" customHeight="1"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0:18" ht="15.75" customHeight="1"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0:18" ht="15.75" customHeight="1"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0:18" ht="15.75" customHeight="1"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0:18" ht="15.75" customHeight="1"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0:18" ht="15.75" customHeight="1"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0:18" ht="15.75" customHeight="1"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0:18" ht="15.75" customHeight="1"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0:18" ht="15.75" customHeight="1"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0:18" ht="15.75" customHeight="1"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0:18" ht="15.75" customHeight="1"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0:18" ht="15.75" customHeight="1"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0:18" ht="15.75" customHeight="1"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0:18" ht="15.75" customHeight="1"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0:18" ht="15.75" customHeight="1"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0:18" ht="15.75" customHeight="1"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0:18" ht="15.75" customHeight="1"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0:18" ht="15.75" customHeight="1"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0:18" ht="15.75" customHeight="1"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0:18" ht="15.75" customHeight="1"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0:18" ht="15.75" customHeight="1"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0:18" ht="15.75" customHeight="1"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0:18" ht="15.75" customHeight="1"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0:18" ht="15.75" customHeight="1"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0:18" ht="15.75" customHeight="1"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0:18" ht="15.75" customHeight="1"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0:18" ht="15.75" customHeight="1"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0:18" ht="15.75" customHeight="1"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0:18" ht="15.75" customHeight="1"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0:18" ht="15.75" customHeight="1"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0:18" ht="15.75" customHeight="1"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0:18" ht="15.75" customHeight="1"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0:18" ht="15.75" customHeight="1"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0:18" ht="15.75" customHeight="1"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0:18" ht="15.75" customHeight="1"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0:18" ht="15.75" customHeight="1"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0:18" ht="15.75" customHeight="1"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0:18" ht="15.75" customHeight="1"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0:18" ht="15.75" customHeight="1"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0:18" ht="15.75" customHeight="1"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0:18" ht="15.75" customHeight="1"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0:18" ht="15.75" customHeight="1">
      <c r="J993" s="40"/>
      <c r="K993" s="40"/>
      <c r="L993" s="40"/>
      <c r="M993" s="40"/>
      <c r="N993" s="40"/>
      <c r="O993" s="40"/>
      <c r="P993" s="40"/>
      <c r="Q993" s="40"/>
      <c r="R993" s="40"/>
    </row>
    <row r="994" spans="10:18" ht="15.75" customHeight="1">
      <c r="J994" s="40"/>
      <c r="K994" s="40"/>
      <c r="L994" s="40"/>
      <c r="M994" s="40"/>
      <c r="N994" s="40"/>
      <c r="O994" s="40"/>
      <c r="P994" s="40"/>
      <c r="Q994" s="40"/>
      <c r="R994" s="40"/>
    </row>
    <row r="995" spans="10:18" ht="15.75" customHeight="1">
      <c r="J995" s="40"/>
      <c r="K995" s="40"/>
      <c r="L995" s="40"/>
      <c r="M995" s="40"/>
      <c r="N995" s="40"/>
      <c r="O995" s="40"/>
      <c r="P995" s="40"/>
      <c r="Q995" s="40"/>
      <c r="R995" s="40"/>
    </row>
    <row r="996" spans="10:18" ht="15.75" customHeight="1">
      <c r="J996" s="40"/>
      <c r="K996" s="40"/>
      <c r="L996" s="40"/>
      <c r="M996" s="40"/>
      <c r="N996" s="40"/>
      <c r="O996" s="40"/>
      <c r="P996" s="40"/>
      <c r="Q996" s="40"/>
      <c r="R996" s="40"/>
    </row>
    <row r="997" spans="10:18" ht="15.75" customHeight="1">
      <c r="J997" s="40"/>
      <c r="K997" s="40"/>
      <c r="L997" s="40"/>
      <c r="M997" s="40"/>
      <c r="N997" s="40"/>
      <c r="O997" s="40"/>
      <c r="P997" s="40"/>
      <c r="Q997" s="40"/>
      <c r="R997" s="40"/>
    </row>
    <row r="998" spans="10:18" ht="15.75" customHeight="1">
      <c r="J998" s="40"/>
      <c r="K998" s="40"/>
      <c r="L998" s="40"/>
      <c r="M998" s="40"/>
      <c r="N998" s="40"/>
      <c r="O998" s="40"/>
      <c r="P998" s="40"/>
      <c r="Q998" s="40"/>
      <c r="R998" s="40"/>
    </row>
    <row r="999" spans="10:18" ht="15.75" customHeight="1">
      <c r="J999" s="40"/>
      <c r="K999" s="40"/>
      <c r="L999" s="40"/>
      <c r="M999" s="40"/>
      <c r="N999" s="40"/>
      <c r="O999" s="40"/>
      <c r="P999" s="40"/>
      <c r="Q999" s="40"/>
      <c r="R999" s="40"/>
    </row>
    <row r="1000" spans="10:18" ht="15.75" customHeight="1">
      <c r="J1000" s="40"/>
      <c r="K1000" s="40"/>
      <c r="L1000" s="40"/>
      <c r="M1000" s="40"/>
      <c r="N1000" s="40"/>
      <c r="O1000" s="40"/>
      <c r="P1000" s="40"/>
      <c r="Q1000" s="40"/>
      <c r="R1000" s="40"/>
    </row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Z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35.125" customWidth="1"/>
    <col min="5" max="5" width="8.625" customWidth="1"/>
    <col min="6" max="6" width="24.25" customWidth="1"/>
    <col min="7" max="7" width="8.625" customWidth="1"/>
    <col min="8" max="9" width="2.125" customWidth="1"/>
    <col min="10" max="10" width="11.875" customWidth="1"/>
    <col min="11" max="11" width="11.75" customWidth="1"/>
    <col min="12" max="18" width="13.625" customWidth="1"/>
    <col min="19" max="20" width="9.75" customWidth="1"/>
    <col min="21" max="26" width="8.625" customWidth="1"/>
  </cols>
  <sheetData>
    <row r="1" spans="1:26" ht="7.5" customHeight="1">
      <c r="F1" s="18"/>
      <c r="J1" s="40"/>
      <c r="K1" s="40"/>
      <c r="L1" s="40"/>
      <c r="M1" s="40"/>
      <c r="N1" s="40"/>
      <c r="O1" s="40"/>
      <c r="P1" s="40"/>
      <c r="Q1" s="40"/>
      <c r="R1" s="40"/>
    </row>
    <row r="2" spans="1:26" ht="23.25">
      <c r="A2" s="1"/>
      <c r="B2" s="2" t="str">
        <f>COY</f>
        <v>Fidson Healthcare Plc</v>
      </c>
      <c r="C2" s="1"/>
      <c r="D2" s="1"/>
      <c r="E2" s="1"/>
      <c r="F2" s="63"/>
      <c r="G2" s="1"/>
      <c r="H2" s="1"/>
      <c r="I2" s="1"/>
      <c r="J2" s="41"/>
      <c r="K2" s="41"/>
      <c r="L2" s="41"/>
      <c r="M2" s="41"/>
      <c r="N2" s="41"/>
      <c r="O2" s="41"/>
      <c r="P2" s="41"/>
      <c r="Q2" s="41"/>
      <c r="R2" s="41"/>
      <c r="S2" s="1"/>
    </row>
    <row r="3" spans="1:26" ht="18">
      <c r="A3" s="1"/>
      <c r="B3" s="1"/>
      <c r="C3" s="3" t="s">
        <v>167</v>
      </c>
      <c r="D3" s="1"/>
      <c r="E3" s="1"/>
      <c r="F3" s="63"/>
      <c r="G3" s="1"/>
      <c r="H3" s="1"/>
      <c r="I3" s="1"/>
      <c r="J3" s="41"/>
      <c r="K3" s="41"/>
      <c r="L3" s="41"/>
      <c r="M3" s="41"/>
      <c r="N3" s="41"/>
      <c r="O3" s="41"/>
      <c r="P3" s="41"/>
      <c r="Q3" s="41"/>
      <c r="R3" s="41"/>
      <c r="S3" s="1"/>
    </row>
    <row r="4" spans="1:26" ht="14.25">
      <c r="A4" s="1"/>
      <c r="B4" s="1"/>
      <c r="C4" s="1"/>
      <c r="D4" s="1"/>
      <c r="E4" s="1"/>
      <c r="F4" s="63"/>
      <c r="G4" s="1"/>
      <c r="H4" s="1"/>
      <c r="I4" s="1"/>
      <c r="J4" s="41"/>
      <c r="K4" s="41"/>
      <c r="L4" s="41"/>
      <c r="M4" s="41"/>
      <c r="N4" s="41"/>
      <c r="O4" s="41"/>
      <c r="P4" s="41"/>
      <c r="Q4" s="41"/>
      <c r="R4" s="41"/>
      <c r="S4" s="1"/>
    </row>
    <row r="5" spans="1:26">
      <c r="D5" s="42" t="str">
        <f>"Balance sheet check: " &amp;BSCheck</f>
        <v>Balance sheet check: OK</v>
      </c>
      <c r="F5" s="18"/>
      <c r="I5" s="43" t="s">
        <v>56</v>
      </c>
      <c r="J5" s="44"/>
      <c r="K5" s="44">
        <f t="shared" ref="K5:R5" si="0">J6+1</f>
        <v>44562</v>
      </c>
      <c r="L5" s="44">
        <f t="shared" si="0"/>
        <v>44927</v>
      </c>
      <c r="M5" s="44">
        <f t="shared" si="0"/>
        <v>45292</v>
      </c>
      <c r="N5" s="44">
        <f t="shared" si="0"/>
        <v>45658</v>
      </c>
      <c r="O5" s="44">
        <f t="shared" si="0"/>
        <v>46023</v>
      </c>
      <c r="P5" s="44">
        <f t="shared" si="0"/>
        <v>46388</v>
      </c>
      <c r="Q5" s="44">
        <f t="shared" si="0"/>
        <v>46753</v>
      </c>
      <c r="R5" s="44">
        <f t="shared" si="0"/>
        <v>47119</v>
      </c>
      <c r="S5" s="9"/>
      <c r="T5" s="9"/>
    </row>
    <row r="6" spans="1:26">
      <c r="D6" s="42" t="str">
        <f t="array" ref="D6">livescenario</f>
        <v>Live Scenario: Base case</v>
      </c>
      <c r="F6" s="18"/>
      <c r="I6" s="43" t="s">
        <v>57</v>
      </c>
      <c r="J6" s="45">
        <f>Guide!E14-1</f>
        <v>44561</v>
      </c>
      <c r="K6" s="44">
        <f t="shared" ref="K6:R6" si="1">EOMONTH(K5,11)</f>
        <v>44926</v>
      </c>
      <c r="L6" s="44">
        <f t="shared" si="1"/>
        <v>45291</v>
      </c>
      <c r="M6" s="44">
        <f t="shared" si="1"/>
        <v>45657</v>
      </c>
      <c r="N6" s="44">
        <f t="shared" si="1"/>
        <v>46022</v>
      </c>
      <c r="O6" s="44">
        <f t="shared" si="1"/>
        <v>46387</v>
      </c>
      <c r="P6" s="44">
        <f t="shared" si="1"/>
        <v>46752</v>
      </c>
      <c r="Q6" s="44">
        <f t="shared" si="1"/>
        <v>47118</v>
      </c>
      <c r="R6" s="44">
        <f t="shared" si="1"/>
        <v>47483</v>
      </c>
      <c r="S6" s="9"/>
      <c r="T6" s="9"/>
    </row>
    <row r="7" spans="1:26" ht="6" customHeight="1">
      <c r="F7" s="18"/>
      <c r="J7" s="40"/>
      <c r="K7" s="40"/>
      <c r="L7" s="40"/>
      <c r="M7" s="40"/>
      <c r="N7" s="40"/>
      <c r="O7" s="40"/>
      <c r="P7" s="40"/>
      <c r="Q7" s="40"/>
      <c r="R7" s="40"/>
    </row>
    <row r="8" spans="1:26" ht="14.25">
      <c r="A8" s="18"/>
      <c r="B8" s="18"/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18"/>
      <c r="I8" s="18"/>
      <c r="J8" s="46"/>
      <c r="K8" s="46" t="s">
        <v>62</v>
      </c>
      <c r="L8" s="46" t="s">
        <v>62</v>
      </c>
      <c r="M8" s="46" t="s">
        <v>62</v>
      </c>
      <c r="N8" s="46" t="s">
        <v>62</v>
      </c>
      <c r="O8" s="46" t="s">
        <v>63</v>
      </c>
      <c r="P8" s="46" t="s">
        <v>63</v>
      </c>
      <c r="Q8" s="46" t="s">
        <v>63</v>
      </c>
      <c r="R8" s="46" t="s">
        <v>63</v>
      </c>
      <c r="S8" s="18"/>
      <c r="T8" s="18"/>
      <c r="U8" s="18"/>
      <c r="V8" s="18"/>
      <c r="W8" s="18"/>
      <c r="X8" s="18"/>
      <c r="Y8" s="18"/>
      <c r="Z8" s="18"/>
    </row>
    <row r="9" spans="1:26" ht="20.25">
      <c r="B9" s="47" t="s">
        <v>168</v>
      </c>
      <c r="C9" s="47"/>
      <c r="D9" s="47"/>
      <c r="E9" s="47"/>
      <c r="F9" s="64"/>
      <c r="G9" s="47"/>
      <c r="H9" s="47"/>
      <c r="I9" s="47"/>
      <c r="J9" s="48"/>
      <c r="K9" s="48"/>
      <c r="L9" s="48"/>
      <c r="M9" s="48"/>
      <c r="N9" s="48"/>
      <c r="O9" s="48"/>
      <c r="P9" s="48"/>
      <c r="Q9" s="48"/>
      <c r="R9" s="48"/>
    </row>
    <row r="10" spans="1:26">
      <c r="C10" s="65" t="s">
        <v>169</v>
      </c>
      <c r="D10" s="65"/>
      <c r="E10" s="65"/>
      <c r="F10" s="66"/>
      <c r="G10" s="65"/>
      <c r="H10" s="65"/>
      <c r="I10" s="65"/>
      <c r="J10" s="67"/>
      <c r="K10" s="67"/>
      <c r="L10" s="67"/>
      <c r="M10" s="67"/>
      <c r="N10" s="67"/>
      <c r="O10" s="67"/>
      <c r="P10" s="67"/>
      <c r="Q10" s="67"/>
      <c r="R10" s="67"/>
    </row>
    <row r="11" spans="1:26" ht="14.25">
      <c r="D11" s="6" t="s">
        <v>170</v>
      </c>
      <c r="E11" s="6" t="s">
        <v>171</v>
      </c>
      <c r="F11" s="18" t="s">
        <v>172</v>
      </c>
      <c r="J11" s="40"/>
      <c r="K11" s="40"/>
      <c r="L11" s="68">
        <f>Historical!L11/Historical!K11-1</f>
        <v>0.30556104013317076</v>
      </c>
      <c r="M11" s="68">
        <f>Historical!M11/Historical!L11-1</f>
        <v>0.58696396257789352</v>
      </c>
      <c r="N11" s="68">
        <f>Historical!N11/Historical!M11-1</f>
        <v>0.41421389967810529</v>
      </c>
      <c r="O11" s="69">
        <f>Scenario!O18</f>
        <v>0.43557963412972317</v>
      </c>
      <c r="P11" s="69">
        <f>Scenario!P18</f>
        <v>0.37</v>
      </c>
      <c r="Q11" s="69">
        <f>Scenario!Q18</f>
        <v>0.31</v>
      </c>
      <c r="R11" s="69">
        <f>Scenario!R18</f>
        <v>0.25</v>
      </c>
    </row>
    <row r="12" spans="1:26" ht="14.25">
      <c r="F12" s="18"/>
      <c r="J12" s="40"/>
      <c r="K12" s="40"/>
      <c r="L12" s="68"/>
      <c r="M12" s="68"/>
      <c r="N12" s="68"/>
      <c r="O12" s="68"/>
      <c r="P12" s="68"/>
      <c r="Q12" s="68"/>
      <c r="R12" s="68"/>
    </row>
    <row r="13" spans="1:26">
      <c r="C13" s="65" t="s">
        <v>173</v>
      </c>
      <c r="D13" s="65"/>
      <c r="E13" s="65"/>
      <c r="F13" s="66"/>
      <c r="G13" s="65"/>
      <c r="H13" s="65"/>
      <c r="I13" s="65"/>
      <c r="J13" s="67"/>
      <c r="K13" s="67"/>
      <c r="L13" s="70"/>
      <c r="M13" s="70"/>
      <c r="N13" s="68"/>
      <c r="O13" s="70"/>
      <c r="P13" s="70"/>
      <c r="Q13" s="70"/>
      <c r="R13" s="70"/>
    </row>
    <row r="14" spans="1:26" ht="14.25">
      <c r="D14" s="6" t="s">
        <v>173</v>
      </c>
      <c r="E14" s="6" t="s">
        <v>171</v>
      </c>
      <c r="F14" s="18" t="s">
        <v>174</v>
      </c>
      <c r="J14" s="40"/>
      <c r="K14" s="40"/>
      <c r="L14" s="68">
        <f>'P or L'!L14/'P or L'!L13</f>
        <v>0.55797535300141443</v>
      </c>
      <c r="M14" s="68">
        <f>'P or L'!M14/'P or L'!M13</f>
        <v>0.5474518642578009</v>
      </c>
      <c r="N14" s="68">
        <f>'P or L'!N14/'P or L'!N13</f>
        <v>0.55682908396042929</v>
      </c>
      <c r="O14" s="69">
        <f>Scenario!O24</f>
        <v>0.55408543373988151</v>
      </c>
      <c r="P14" s="69">
        <f>Scenario!P24</f>
        <v>0.55408543373988151</v>
      </c>
      <c r="Q14" s="69">
        <f>Scenario!Q24</f>
        <v>0.55408543373988151</v>
      </c>
      <c r="R14" s="69">
        <f>Scenario!R24</f>
        <v>0.55408543373988151</v>
      </c>
    </row>
    <row r="15" spans="1:26" ht="14.25">
      <c r="F15" s="18"/>
      <c r="J15" s="40"/>
      <c r="K15" s="40"/>
      <c r="L15" s="68"/>
      <c r="M15" s="68"/>
      <c r="N15" s="68"/>
      <c r="O15" s="68"/>
      <c r="P15" s="68"/>
      <c r="Q15" s="68"/>
      <c r="R15" s="68"/>
    </row>
    <row r="16" spans="1:26">
      <c r="C16" s="65" t="s">
        <v>175</v>
      </c>
      <c r="D16" s="65"/>
      <c r="E16" s="65"/>
      <c r="F16" s="66"/>
      <c r="G16" s="65"/>
      <c r="H16" s="65"/>
      <c r="I16" s="65"/>
      <c r="J16" s="67"/>
      <c r="K16" s="67"/>
      <c r="L16" s="70"/>
      <c r="M16" s="70"/>
      <c r="N16" s="68"/>
      <c r="O16" s="70"/>
      <c r="P16" s="70"/>
      <c r="Q16" s="70"/>
      <c r="R16" s="70"/>
    </row>
    <row r="17" spans="3:18" ht="14.25">
      <c r="D17" s="6" t="s">
        <v>176</v>
      </c>
      <c r="E17" s="6" t="s">
        <v>171</v>
      </c>
      <c r="F17" s="18" t="s">
        <v>174</v>
      </c>
      <c r="J17" s="40"/>
      <c r="K17" s="40"/>
      <c r="L17" s="68">
        <f>'P or L'!L16/'P or L'!L13</f>
        <v>9.3697018496804001E-3</v>
      </c>
      <c r="M17" s="68">
        <f>'P or L'!M16/'P or L'!M13</f>
        <v>7.2678259630117948E-3</v>
      </c>
      <c r="N17" s="68">
        <f>'P or L'!N16/'P or L'!N13</f>
        <v>7.4545410045823973E-3</v>
      </c>
      <c r="O17" s="69">
        <v>8.0306896057581959E-3</v>
      </c>
      <c r="P17" s="69">
        <v>8.0306896057581959E-3</v>
      </c>
      <c r="Q17" s="69">
        <v>8.0306896057581959E-3</v>
      </c>
      <c r="R17" s="69">
        <v>8.0306896057581959E-3</v>
      </c>
    </row>
    <row r="18" spans="3:18" ht="14.25">
      <c r="D18" s="6" t="str">
        <f>'P or L'!D17</f>
        <v>Selling and Distribution costs</v>
      </c>
      <c r="E18" s="6" t="s">
        <v>171</v>
      </c>
      <c r="F18" s="18" t="s">
        <v>174</v>
      </c>
      <c r="J18" s="40"/>
      <c r="K18" s="40"/>
      <c r="L18" s="68">
        <f>'P or L'!L17/'P or L'!L13</f>
        <v>0.10461472132683601</v>
      </c>
      <c r="M18" s="68">
        <f>'P or L'!M17/'P or L'!M13</f>
        <v>9.6444179168299893E-2</v>
      </c>
      <c r="N18" s="68">
        <f>'P or L'!N17/'P or L'!N13</f>
        <v>8.0830670572308944E-2</v>
      </c>
      <c r="O18" s="69">
        <f>Scenario!O30</f>
        <v>9.3963190355814949E-2</v>
      </c>
      <c r="P18" s="69">
        <f>Scenario!P30</f>
        <v>9.3963190355814949E-2</v>
      </c>
      <c r="Q18" s="69">
        <f>Scenario!Q30</f>
        <v>9.3963190355814949E-2</v>
      </c>
      <c r="R18" s="69">
        <f>Scenario!R30</f>
        <v>9.3963190355814949E-2</v>
      </c>
    </row>
    <row r="19" spans="3:18" ht="14.25">
      <c r="D19" s="6" t="s">
        <v>69</v>
      </c>
      <c r="E19" s="6" t="s">
        <v>171</v>
      </c>
      <c r="F19" s="18" t="s">
        <v>174</v>
      </c>
      <c r="J19" s="40"/>
      <c r="K19" s="40"/>
      <c r="L19" s="68">
        <f>'P or L'!L18/'P or L'!L13</f>
        <v>0.14410363783811886</v>
      </c>
      <c r="M19" s="68">
        <f>'P or L'!M18/'P or L'!M13</f>
        <v>0.11925151741914027</v>
      </c>
      <c r="N19" s="68">
        <f>'P or L'!N18/'P or L'!N13</f>
        <v>0.11503019277791245</v>
      </c>
      <c r="O19" s="69">
        <f>Scenario!O36</f>
        <v>0.12612844934505718</v>
      </c>
      <c r="P19" s="69">
        <f>Scenario!P36</f>
        <v>0.12612844934505718</v>
      </c>
      <c r="Q19" s="69">
        <f>Scenario!Q36</f>
        <v>0.12612844934505718</v>
      </c>
      <c r="R19" s="69">
        <f>Scenario!R36</f>
        <v>0.12612844934505718</v>
      </c>
    </row>
    <row r="20" spans="3:18" ht="14.25">
      <c r="F20" s="18"/>
      <c r="J20" s="40"/>
      <c r="K20" s="40"/>
      <c r="L20" s="68"/>
      <c r="M20" s="68"/>
      <c r="N20" s="68"/>
      <c r="O20" s="68"/>
      <c r="P20" s="68"/>
      <c r="Q20" s="68"/>
      <c r="R20" s="68"/>
    </row>
    <row r="21" spans="3:18" ht="15.75" customHeight="1">
      <c r="C21" s="65" t="s">
        <v>177</v>
      </c>
      <c r="D21" s="65"/>
      <c r="E21" s="65"/>
      <c r="F21" s="66"/>
      <c r="G21" s="65"/>
      <c r="H21" s="65"/>
      <c r="I21" s="65"/>
      <c r="J21" s="67"/>
      <c r="K21" s="67"/>
      <c r="L21" s="70"/>
      <c r="M21" s="70"/>
      <c r="N21" s="68"/>
      <c r="O21" s="70"/>
      <c r="P21" s="70"/>
      <c r="Q21" s="70"/>
      <c r="R21" s="70"/>
    </row>
    <row r="22" spans="3:18" ht="15.75" customHeight="1">
      <c r="D22" s="6" t="str">
        <f>Historical!D91</f>
        <v>Depreciation of PPE</v>
      </c>
      <c r="E22" s="6" t="s">
        <v>171</v>
      </c>
      <c r="F22" s="18" t="s">
        <v>178</v>
      </c>
      <c r="J22" s="40"/>
      <c r="K22" s="40"/>
      <c r="L22" s="68">
        <f>'P or L'!L20/BS!K17</f>
        <v>5.7609104311099668E-2</v>
      </c>
      <c r="M22" s="68">
        <f>'P or L'!M20/BS!L17</f>
        <v>6.6013598526686604E-2</v>
      </c>
      <c r="N22" s="68">
        <f>'P or L'!N20/BS!M17</f>
        <v>7.7549014660180465E-2</v>
      </c>
      <c r="O22" s="69">
        <v>6.7057239165988922E-2</v>
      </c>
      <c r="P22" s="69">
        <v>6.7057239165988922E-2</v>
      </c>
      <c r="Q22" s="69">
        <v>6.7057239165988922E-2</v>
      </c>
      <c r="R22" s="69">
        <v>6.7057239165988922E-2</v>
      </c>
    </row>
    <row r="23" spans="3:18" ht="15.75" customHeight="1">
      <c r="D23" s="6" t="str">
        <f>Historical!D92</f>
        <v>Depreciation in Right of use Asset</v>
      </c>
      <c r="E23" s="6" t="s">
        <v>171</v>
      </c>
      <c r="F23" s="18" t="s">
        <v>179</v>
      </c>
      <c r="J23" s="40"/>
      <c r="K23" s="40"/>
      <c r="L23" s="68">
        <f>'P or L'!L21/BS!K18</f>
        <v>0.15149008578923734</v>
      </c>
      <c r="M23" s="68">
        <f>'P or L'!M21/BS!L18</f>
        <v>0.11231233137597207</v>
      </c>
      <c r="N23" s="71">
        <f>IFERROR('P or L'!N21/BS!M18,0)</f>
        <v>0</v>
      </c>
      <c r="O23" s="69">
        <v>8.7934139055069804E-2</v>
      </c>
      <c r="P23" s="69">
        <v>8.7934139055069804E-2</v>
      </c>
      <c r="Q23" s="69">
        <v>8.7934139055069804E-2</v>
      </c>
      <c r="R23" s="69">
        <v>8.7934139055069804E-2</v>
      </c>
    </row>
    <row r="24" spans="3:18" ht="15.75" customHeight="1">
      <c r="D24" s="6" t="str">
        <f>Historical!D93</f>
        <v>Amortization of Intangible Assets</v>
      </c>
      <c r="E24" s="6" t="s">
        <v>171</v>
      </c>
      <c r="F24" s="72" t="s">
        <v>180</v>
      </c>
      <c r="J24" s="40"/>
      <c r="K24" s="40"/>
      <c r="L24" s="68">
        <f>'P or L'!L22/BS!K19</f>
        <v>3.4782110091743119</v>
      </c>
      <c r="M24" s="68">
        <f>'P or L'!M22/BS!L19</f>
        <v>5.3014427024279627</v>
      </c>
      <c r="N24" s="68">
        <f>'P or L'!N22/BS!M19</f>
        <v>4.4350475783171177</v>
      </c>
      <c r="O24" s="69">
        <v>4.4049004299731314</v>
      </c>
      <c r="P24" s="69">
        <v>4.4049004299731314</v>
      </c>
      <c r="Q24" s="69">
        <v>4.4049004299731314</v>
      </c>
      <c r="R24" s="69">
        <v>4.4049004299731314</v>
      </c>
    </row>
    <row r="25" spans="3:18" ht="15.75" customHeight="1">
      <c r="F25" s="18"/>
      <c r="J25" s="40"/>
      <c r="K25" s="40"/>
      <c r="L25" s="40"/>
      <c r="M25" s="40"/>
      <c r="N25" s="40"/>
      <c r="O25" s="40"/>
      <c r="P25" s="40"/>
      <c r="Q25" s="40"/>
      <c r="R25" s="40"/>
    </row>
    <row r="26" spans="3:18" ht="15.75" customHeight="1">
      <c r="C26" s="65" t="s">
        <v>181</v>
      </c>
      <c r="D26" s="65"/>
      <c r="E26" s="65"/>
      <c r="F26" s="66"/>
      <c r="G26" s="65"/>
      <c r="H26" s="65"/>
      <c r="I26" s="65"/>
      <c r="J26" s="67"/>
      <c r="K26" s="67"/>
      <c r="L26" s="67"/>
      <c r="M26" s="67"/>
      <c r="N26" s="40"/>
      <c r="O26" s="67"/>
      <c r="P26" s="67"/>
      <c r="Q26" s="67"/>
      <c r="R26" s="67"/>
    </row>
    <row r="27" spans="3:18" ht="15.75" customHeight="1">
      <c r="D27" s="6" t="str">
        <f>'P or L'!D24</f>
        <v>Net Foreign Exchange (Loss)/Gain</v>
      </c>
      <c r="E27" s="25" t="str">
        <f>currency</f>
        <v>(₦'000)</v>
      </c>
      <c r="F27" s="18" t="s">
        <v>182</v>
      </c>
      <c r="J27" s="40"/>
      <c r="K27" s="40"/>
      <c r="L27" s="40">
        <f>'P or L'!L24</f>
        <v>1261246</v>
      </c>
      <c r="M27" s="40">
        <f>'P or L'!M24</f>
        <v>5448891</v>
      </c>
      <c r="N27" s="40">
        <f>'P or L'!N24</f>
        <v>6012067</v>
      </c>
      <c r="O27" s="62">
        <v>5730479</v>
      </c>
      <c r="P27" s="62">
        <v>5730479</v>
      </c>
      <c r="Q27" s="62">
        <v>5730479</v>
      </c>
      <c r="R27" s="62">
        <v>5730479</v>
      </c>
    </row>
    <row r="28" spans="3:18" ht="15.75" customHeight="1">
      <c r="D28" s="6" t="str">
        <f>'P or L'!D25</f>
        <v>Impairment of receivables</v>
      </c>
      <c r="E28" s="25" t="str">
        <f>currency</f>
        <v>(₦'000)</v>
      </c>
      <c r="F28" s="18" t="s">
        <v>182</v>
      </c>
      <c r="J28" s="40"/>
      <c r="K28" s="40"/>
      <c r="L28" s="40">
        <f>'P or L'!L25</f>
        <v>227781</v>
      </c>
      <c r="M28" s="40">
        <f>'P or L'!M25</f>
        <v>301440</v>
      </c>
      <c r="N28" s="40">
        <f>'P or L'!N25</f>
        <v>133069</v>
      </c>
      <c r="O28" s="62">
        <v>217254.5</v>
      </c>
      <c r="P28" s="62">
        <v>217254.5</v>
      </c>
      <c r="Q28" s="62">
        <v>217254.5</v>
      </c>
      <c r="R28" s="62">
        <v>217254.5</v>
      </c>
    </row>
    <row r="29" spans="3:18" ht="15.75" customHeight="1">
      <c r="D29" s="6" t="str">
        <f>'P or L'!D26</f>
        <v>Finance income</v>
      </c>
      <c r="E29" s="6" t="s">
        <v>171</v>
      </c>
      <c r="F29" s="18" t="s">
        <v>183</v>
      </c>
      <c r="J29" s="40"/>
      <c r="K29" s="40"/>
      <c r="L29" s="68">
        <f>'P or L'!L26/BS!K29</f>
        <v>1.0877787527610518E-2</v>
      </c>
      <c r="M29" s="68">
        <f>'P or L'!M26/BS!L29</f>
        <v>5.5644745079632286E-3</v>
      </c>
      <c r="N29" s="68">
        <f>'P or L'!N26/BS!M29</f>
        <v>2.9264698963857493E-2</v>
      </c>
      <c r="O29" s="69">
        <v>3.8119546539708955E-2</v>
      </c>
      <c r="P29" s="69">
        <v>3.8119546539708955E-2</v>
      </c>
      <c r="Q29" s="69">
        <v>3.8119546539708955E-2</v>
      </c>
      <c r="R29" s="69">
        <v>3.8119546539708955E-2</v>
      </c>
    </row>
    <row r="30" spans="3:18" ht="15.75" customHeight="1">
      <c r="D30" s="6" t="str">
        <f>'P or L'!D27</f>
        <v>Finance cost</v>
      </c>
      <c r="E30" s="6" t="s">
        <v>171</v>
      </c>
      <c r="F30" s="18" t="s">
        <v>325</v>
      </c>
      <c r="J30" s="40"/>
      <c r="K30" s="40"/>
      <c r="L30" s="68">
        <f>'P or L'!L27/(BS!K42+BS!K50+BS!K51)</f>
        <v>0.14450941130236319</v>
      </c>
      <c r="M30" s="68">
        <f>'P or L'!M27/(BS!L42+BS!L50+BS!L51)</f>
        <v>0.19238982200353211</v>
      </c>
      <c r="N30" s="68">
        <f>'P or L'!N27/(BS!M42+BS!M50+BS!M51)</f>
        <v>0.21654236789874168</v>
      </c>
      <c r="O30" s="69">
        <f>N30</f>
        <v>0.21654236789874168</v>
      </c>
      <c r="P30" s="69">
        <f>O30</f>
        <v>0.21654236789874168</v>
      </c>
      <c r="Q30" s="69">
        <f>P30</f>
        <v>0.21654236789874168</v>
      </c>
      <c r="R30" s="69">
        <f>Q30</f>
        <v>0.21654236789874168</v>
      </c>
    </row>
    <row r="31" spans="3:18" ht="15.75" customHeight="1">
      <c r="D31" s="6" t="str">
        <f>'P or L'!D29</f>
        <v>Taxation</v>
      </c>
      <c r="E31" s="6" t="s">
        <v>171</v>
      </c>
      <c r="F31" s="18" t="s">
        <v>184</v>
      </c>
      <c r="J31" s="40"/>
      <c r="K31" s="40"/>
      <c r="L31" s="68">
        <f>'P or L'!L29/'P or L'!L28</f>
        <v>0.39034246238514186</v>
      </c>
      <c r="M31" s="68">
        <f>'P or L'!M29/'P or L'!M28</f>
        <v>0.42874023110307696</v>
      </c>
      <c r="N31" s="68">
        <f>'P or L'!N29/'P or L'!N28</f>
        <v>0.33944831008070253</v>
      </c>
      <c r="O31" s="69">
        <v>0.38409427059188972</v>
      </c>
      <c r="P31" s="69">
        <v>0.38409427059188972</v>
      </c>
      <c r="Q31" s="69">
        <v>0.38409427059188972</v>
      </c>
      <c r="R31" s="69">
        <v>0.38409427059188972</v>
      </c>
    </row>
    <row r="32" spans="3:18" ht="15.75" customHeight="1">
      <c r="F32" s="18"/>
      <c r="J32" s="40"/>
      <c r="K32" s="40"/>
      <c r="L32" s="40"/>
      <c r="M32" s="40"/>
      <c r="N32" s="40"/>
      <c r="O32" s="40"/>
      <c r="P32" s="40"/>
      <c r="Q32" s="40"/>
      <c r="R32" s="40"/>
    </row>
    <row r="33" spans="2:18" ht="15.75" customHeight="1">
      <c r="B33" s="47" t="s">
        <v>185</v>
      </c>
      <c r="C33" s="47"/>
      <c r="D33" s="47"/>
      <c r="E33" s="47"/>
      <c r="F33" s="64"/>
      <c r="G33" s="47"/>
      <c r="H33" s="47"/>
      <c r="I33" s="47"/>
      <c r="J33" s="48"/>
      <c r="K33" s="48"/>
      <c r="L33" s="48"/>
      <c r="M33" s="48"/>
      <c r="N33" s="48"/>
      <c r="O33" s="48"/>
      <c r="P33" s="48"/>
      <c r="Q33" s="48"/>
      <c r="R33" s="48"/>
    </row>
    <row r="34" spans="2:18" ht="15.75" customHeight="1">
      <c r="C34" s="65" t="s">
        <v>186</v>
      </c>
      <c r="D34" s="65"/>
      <c r="E34" s="65"/>
      <c r="F34" s="66"/>
      <c r="G34" s="65"/>
      <c r="H34" s="65"/>
      <c r="I34" s="65"/>
      <c r="J34" s="67"/>
      <c r="K34" s="67"/>
      <c r="L34" s="67"/>
      <c r="M34" s="67"/>
      <c r="N34" s="67"/>
      <c r="O34" s="67"/>
      <c r="P34" s="67"/>
      <c r="Q34" s="67"/>
      <c r="R34" s="67"/>
    </row>
    <row r="35" spans="2:18" ht="15.75" customHeight="1">
      <c r="D35" s="6" t="s">
        <v>187</v>
      </c>
      <c r="E35" s="6" t="s">
        <v>188</v>
      </c>
      <c r="F35" s="18" t="s">
        <v>189</v>
      </c>
      <c r="J35" s="40"/>
      <c r="K35" s="40"/>
      <c r="L35" s="40"/>
      <c r="M35" s="40"/>
      <c r="N35" s="40"/>
      <c r="O35" s="73">
        <v>1.1000000000000001</v>
      </c>
      <c r="P35" s="73">
        <v>1.1000000000000001</v>
      </c>
      <c r="Q35" s="73">
        <v>1.1000000000000001</v>
      </c>
      <c r="R35" s="73">
        <v>1.1000000000000001</v>
      </c>
    </row>
    <row r="36" spans="2:18" ht="15.75" customHeight="1">
      <c r="D36" s="6" t="s">
        <v>190</v>
      </c>
      <c r="E36" s="25" t="str">
        <f>currency</f>
        <v>(₦'000)</v>
      </c>
      <c r="F36" s="18" t="s">
        <v>191</v>
      </c>
      <c r="J36" s="40"/>
      <c r="K36" s="40"/>
      <c r="L36" s="40"/>
      <c r="M36" s="40"/>
      <c r="N36" s="40"/>
      <c r="O36" s="62"/>
      <c r="P36" s="62"/>
      <c r="Q36" s="62"/>
      <c r="R36" s="62"/>
    </row>
    <row r="37" spans="2:18" ht="15.75" customHeight="1">
      <c r="F37" s="18"/>
      <c r="J37" s="40"/>
      <c r="K37" s="40"/>
      <c r="L37" s="40"/>
      <c r="M37" s="40"/>
      <c r="N37" s="40"/>
      <c r="O37" s="40"/>
      <c r="P37" s="40"/>
      <c r="Q37" s="40"/>
      <c r="R37" s="40"/>
    </row>
    <row r="38" spans="2:18" ht="15.75" customHeight="1">
      <c r="C38" s="65" t="s">
        <v>192</v>
      </c>
      <c r="D38" s="65"/>
      <c r="E38" s="65"/>
      <c r="F38" s="66"/>
      <c r="G38" s="65"/>
      <c r="H38" s="65"/>
      <c r="I38" s="65"/>
      <c r="J38" s="67"/>
      <c r="K38" s="67"/>
      <c r="L38" s="67"/>
      <c r="M38" s="67"/>
      <c r="N38" s="67"/>
      <c r="O38" s="67"/>
      <c r="P38" s="67"/>
      <c r="Q38" s="67"/>
      <c r="R38" s="67"/>
    </row>
    <row r="39" spans="2:18" ht="15.75" customHeight="1">
      <c r="D39" s="6" t="s">
        <v>187</v>
      </c>
      <c r="E39" s="6" t="s">
        <v>188</v>
      </c>
      <c r="F39" s="18" t="s">
        <v>189</v>
      </c>
      <c r="J39" s="40"/>
      <c r="K39" s="40"/>
      <c r="L39" s="40"/>
      <c r="M39" s="40"/>
      <c r="N39" s="40"/>
      <c r="O39" s="73">
        <v>1.1000000000000001</v>
      </c>
      <c r="P39" s="73">
        <v>1.1000000000000001</v>
      </c>
      <c r="Q39" s="73">
        <v>1.1000000000000001</v>
      </c>
      <c r="R39" s="73">
        <v>1.1000000000000001</v>
      </c>
    </row>
    <row r="40" spans="2:18" ht="15.75" customHeight="1">
      <c r="D40" s="6" t="s">
        <v>190</v>
      </c>
      <c r="E40" s="25" t="str">
        <f>currency</f>
        <v>(₦'000)</v>
      </c>
      <c r="F40" s="18" t="s">
        <v>191</v>
      </c>
      <c r="J40" s="40"/>
      <c r="K40" s="40"/>
      <c r="L40" s="40"/>
      <c r="M40" s="40"/>
      <c r="N40" s="40"/>
      <c r="O40" s="62"/>
      <c r="P40" s="62"/>
      <c r="Q40" s="62"/>
      <c r="R40" s="62"/>
    </row>
    <row r="41" spans="2:18" ht="15.75" customHeight="1">
      <c r="F41" s="18"/>
      <c r="J41" s="40"/>
      <c r="K41" s="40"/>
      <c r="L41" s="40"/>
      <c r="M41" s="40"/>
      <c r="N41" s="40"/>
      <c r="O41" s="40"/>
      <c r="P41" s="40"/>
      <c r="Q41" s="40"/>
      <c r="R41" s="40"/>
    </row>
    <row r="42" spans="2:18" ht="15.75" customHeight="1">
      <c r="C42" s="74" t="s">
        <v>84</v>
      </c>
      <c r="D42" s="65"/>
      <c r="E42" s="65"/>
      <c r="F42" s="66"/>
      <c r="G42" s="65"/>
      <c r="H42" s="65"/>
      <c r="I42" s="65"/>
      <c r="J42" s="67"/>
      <c r="K42" s="67"/>
      <c r="L42" s="67"/>
      <c r="M42" s="67"/>
      <c r="N42" s="67"/>
      <c r="O42" s="67"/>
      <c r="P42" s="67"/>
      <c r="Q42" s="67"/>
      <c r="R42" s="67"/>
    </row>
    <row r="43" spans="2:18" ht="15.75" customHeight="1">
      <c r="D43" s="6" t="s">
        <v>187</v>
      </c>
      <c r="E43" s="6" t="s">
        <v>188</v>
      </c>
      <c r="F43" s="72" t="s">
        <v>193</v>
      </c>
      <c r="J43" s="40"/>
      <c r="K43" s="40"/>
      <c r="L43" s="40"/>
      <c r="M43" s="40"/>
      <c r="N43" s="40"/>
      <c r="O43" s="73">
        <v>1.1000000000000001</v>
      </c>
      <c r="P43" s="73">
        <v>1.1000000000000001</v>
      </c>
      <c r="Q43" s="73">
        <v>1.1000000000000001</v>
      </c>
      <c r="R43" s="73">
        <v>1.1000000000000001</v>
      </c>
    </row>
    <row r="44" spans="2:18" ht="15.75" customHeight="1">
      <c r="D44" s="6" t="s">
        <v>190</v>
      </c>
      <c r="E44" s="25" t="str">
        <f>currency</f>
        <v>(₦'000)</v>
      </c>
      <c r="F44" s="18" t="s">
        <v>191</v>
      </c>
      <c r="J44" s="40"/>
      <c r="K44" s="40"/>
      <c r="L44" s="40"/>
      <c r="M44" s="40"/>
      <c r="N44" s="40"/>
      <c r="O44" s="62"/>
      <c r="P44" s="62"/>
      <c r="Q44" s="62"/>
      <c r="R44" s="62"/>
    </row>
    <row r="45" spans="2:18" ht="15.75" customHeight="1">
      <c r="F45" s="18"/>
      <c r="J45" s="40"/>
      <c r="K45" s="40"/>
      <c r="L45" s="40"/>
      <c r="M45" s="40"/>
      <c r="N45" s="40"/>
      <c r="O45" s="40"/>
      <c r="P45" s="40"/>
      <c r="Q45" s="40"/>
      <c r="R45" s="40"/>
    </row>
    <row r="46" spans="2:18" ht="15.75" customHeight="1">
      <c r="C46" s="74" t="s">
        <v>194</v>
      </c>
      <c r="D46" s="65"/>
      <c r="E46" s="65"/>
      <c r="F46" s="65"/>
      <c r="G46" s="65"/>
      <c r="H46" s="65"/>
      <c r="I46" s="65"/>
      <c r="J46" s="67"/>
      <c r="K46" s="67"/>
      <c r="L46" s="67"/>
      <c r="M46" s="67"/>
      <c r="N46" s="67"/>
      <c r="O46" s="67"/>
      <c r="P46" s="67"/>
      <c r="Q46" s="67"/>
      <c r="R46" s="67"/>
    </row>
    <row r="47" spans="2:18" ht="15.75" customHeight="1">
      <c r="D47" s="6" t="str">
        <f>BS!D20</f>
        <v>Financial assets at FVTOCI</v>
      </c>
      <c r="E47" s="25" t="str">
        <f>currency</f>
        <v>(₦'000)</v>
      </c>
      <c r="F47" s="18" t="s">
        <v>195</v>
      </c>
      <c r="J47" s="40"/>
      <c r="K47" s="40"/>
      <c r="L47" s="40">
        <f>BS!L20</f>
        <v>7730</v>
      </c>
      <c r="M47" s="40">
        <f>BS!M20</f>
        <v>9100</v>
      </c>
      <c r="N47" s="40">
        <f>BS!N20</f>
        <v>12360</v>
      </c>
      <c r="O47" s="62">
        <f t="shared" ref="O47:R49" si="2">N47</f>
        <v>12360</v>
      </c>
      <c r="P47" s="62">
        <f t="shared" si="2"/>
        <v>12360</v>
      </c>
      <c r="Q47" s="62">
        <f t="shared" si="2"/>
        <v>12360</v>
      </c>
      <c r="R47" s="62">
        <f t="shared" si="2"/>
        <v>12360</v>
      </c>
    </row>
    <row r="48" spans="2:18" ht="15.75" customHeight="1">
      <c r="D48" s="6" t="str">
        <f>BS!D21</f>
        <v>Financial assets at amortized cost</v>
      </c>
      <c r="E48" s="25" t="str">
        <f>currency</f>
        <v>(₦'000)</v>
      </c>
      <c r="F48" s="18" t="s">
        <v>195</v>
      </c>
      <c r="J48" s="40"/>
      <c r="K48" s="40"/>
      <c r="L48" s="40">
        <f>BS!L21</f>
        <v>501193</v>
      </c>
      <c r="M48" s="40">
        <f>BS!M21</f>
        <v>260145</v>
      </c>
      <c r="N48" s="40">
        <f>BS!N21</f>
        <v>20498</v>
      </c>
      <c r="O48" s="62">
        <f t="shared" si="2"/>
        <v>20498</v>
      </c>
      <c r="P48" s="62">
        <f t="shared" si="2"/>
        <v>20498</v>
      </c>
      <c r="Q48" s="62">
        <f t="shared" si="2"/>
        <v>20498</v>
      </c>
      <c r="R48" s="62">
        <f t="shared" si="2"/>
        <v>20498</v>
      </c>
    </row>
    <row r="49" spans="3:18" ht="15.75" customHeight="1">
      <c r="D49" s="6" t="str">
        <f>BS!D22</f>
        <v>Other Non-Current Financial Asset</v>
      </c>
      <c r="E49" s="25" t="str">
        <f>currency</f>
        <v>(₦'000)</v>
      </c>
      <c r="F49" s="18" t="s">
        <v>195</v>
      </c>
      <c r="J49" s="40"/>
      <c r="K49" s="40"/>
      <c r="L49" s="40">
        <f>BS!L22</f>
        <v>184432</v>
      </c>
      <c r="M49" s="40">
        <f>BS!M22</f>
        <v>198106</v>
      </c>
      <c r="N49" s="40">
        <f>BS!N22</f>
        <v>215936</v>
      </c>
      <c r="O49" s="62">
        <f t="shared" si="2"/>
        <v>215936</v>
      </c>
      <c r="P49" s="62">
        <f t="shared" si="2"/>
        <v>215936</v>
      </c>
      <c r="Q49" s="62">
        <f t="shared" si="2"/>
        <v>215936</v>
      </c>
      <c r="R49" s="62">
        <f t="shared" si="2"/>
        <v>215936</v>
      </c>
    </row>
    <row r="50" spans="3:18" ht="15.75" customHeight="1">
      <c r="F50" s="18"/>
      <c r="J50" s="40"/>
      <c r="K50" s="40"/>
      <c r="L50" s="40"/>
      <c r="M50" s="40"/>
      <c r="N50" s="40"/>
      <c r="O50" s="40"/>
      <c r="P50" s="40"/>
      <c r="Q50" s="40"/>
      <c r="R50" s="40"/>
    </row>
    <row r="51" spans="3:18" ht="15.75" customHeight="1">
      <c r="C51" s="65" t="s">
        <v>196</v>
      </c>
      <c r="D51" s="65"/>
      <c r="E51" s="65"/>
      <c r="F51" s="65"/>
      <c r="G51" s="65"/>
      <c r="H51" s="65"/>
      <c r="I51" s="65"/>
      <c r="J51" s="67"/>
      <c r="K51" s="67"/>
      <c r="L51" s="67"/>
      <c r="M51" s="67"/>
      <c r="N51" s="67"/>
      <c r="O51" s="67"/>
      <c r="P51" s="67"/>
      <c r="Q51" s="67"/>
      <c r="R51" s="67"/>
    </row>
    <row r="52" spans="3:18" ht="15.75" customHeight="1">
      <c r="D52" s="6" t="s">
        <v>90</v>
      </c>
      <c r="E52" s="6" t="s">
        <v>171</v>
      </c>
      <c r="F52" s="18" t="s">
        <v>174</v>
      </c>
      <c r="J52" s="40"/>
      <c r="K52" s="40"/>
      <c r="L52" s="68">
        <f>BS!L25/'P or L'!L13</f>
        <v>0.30832874366870389</v>
      </c>
      <c r="M52" s="68">
        <f>BS!M25/'P or L'!M13</f>
        <v>0.28723816650631318</v>
      </c>
      <c r="N52" s="68">
        <f>BS!N25/'P or L'!N13</f>
        <v>0.22297062317183389</v>
      </c>
      <c r="O52" s="69">
        <v>0.27284584444895033</v>
      </c>
      <c r="P52" s="69">
        <v>0.27284584444895033</v>
      </c>
      <c r="Q52" s="69">
        <v>0.27284584444895033</v>
      </c>
      <c r="R52" s="69">
        <v>0.27284584444895033</v>
      </c>
    </row>
    <row r="53" spans="3:18" ht="15.75" customHeight="1">
      <c r="D53" s="6" t="s">
        <v>197</v>
      </c>
      <c r="E53" s="6" t="s">
        <v>171</v>
      </c>
      <c r="F53" s="18" t="s">
        <v>174</v>
      </c>
      <c r="J53" s="40"/>
      <c r="K53" s="40"/>
      <c r="L53" s="68">
        <f>BS!L26/'P or L'!L13</f>
        <v>0.10256040892771423</v>
      </c>
      <c r="M53" s="68">
        <f>BS!M26/'P or L'!M13</f>
        <v>6.5992350544607961E-2</v>
      </c>
      <c r="N53" s="68">
        <f>BS!N26/'P or L'!N13</f>
        <v>9.0840938060336579E-2</v>
      </c>
      <c r="O53" s="69">
        <v>8.6464565844219576E-2</v>
      </c>
      <c r="P53" s="69">
        <v>8.6464565844219576E-2</v>
      </c>
      <c r="Q53" s="69">
        <v>8.6464565844219576E-2</v>
      </c>
      <c r="R53" s="69">
        <v>8.6464565844219576E-2</v>
      </c>
    </row>
    <row r="54" spans="3:18" ht="15.75" customHeight="1">
      <c r="D54" s="6" t="s">
        <v>140</v>
      </c>
      <c r="E54" s="25" t="str">
        <f>currency</f>
        <v>(₦'000)</v>
      </c>
      <c r="F54" s="18" t="s">
        <v>198</v>
      </c>
      <c r="J54" s="40"/>
      <c r="K54" s="40"/>
      <c r="L54" s="40">
        <f>BS!L27</f>
        <v>446961</v>
      </c>
      <c r="M54" s="40">
        <f>BS!M27</f>
        <v>652385</v>
      </c>
      <c r="N54" s="40">
        <f>BS!N27</f>
        <v>252591</v>
      </c>
      <c r="O54" s="62">
        <f>N54</f>
        <v>252591</v>
      </c>
      <c r="P54" s="62">
        <f>O54</f>
        <v>252591</v>
      </c>
      <c r="Q54" s="62">
        <f>P54</f>
        <v>252591</v>
      </c>
      <c r="R54" s="62">
        <f>Q54</f>
        <v>252591</v>
      </c>
    </row>
    <row r="55" spans="3:18" ht="15.75" customHeight="1">
      <c r="D55" s="6" t="s">
        <v>199</v>
      </c>
      <c r="E55" s="6" t="s">
        <v>171</v>
      </c>
      <c r="F55" s="18" t="s">
        <v>200</v>
      </c>
      <c r="J55" s="40"/>
      <c r="K55" s="40"/>
      <c r="L55" s="68">
        <f>BS!L28/'P or L'!L14</f>
        <v>0.17748049967585325</v>
      </c>
      <c r="M55" s="68">
        <f>BS!M28/'P or L'!M14</f>
        <v>0.27149466499093883</v>
      </c>
      <c r="N55" s="68">
        <f>BS!N28/'P or L'!N14</f>
        <v>9.8584849587466328E-2</v>
      </c>
      <c r="O55" s="69">
        <v>0.1825200047514195</v>
      </c>
      <c r="P55" s="69">
        <v>0.1825200047514195</v>
      </c>
      <c r="Q55" s="69">
        <v>0.1825200047514195</v>
      </c>
      <c r="R55" s="69">
        <v>0.1825200047514195</v>
      </c>
    </row>
    <row r="56" spans="3:18" ht="15.75" customHeight="1">
      <c r="F56" s="18"/>
      <c r="J56" s="40"/>
      <c r="K56" s="40"/>
      <c r="L56" s="40"/>
      <c r="M56" s="40"/>
      <c r="N56" s="40"/>
      <c r="O56" s="40"/>
      <c r="P56" s="40"/>
      <c r="Q56" s="40"/>
      <c r="R56" s="40"/>
    </row>
    <row r="57" spans="3:18" ht="15.75" customHeight="1">
      <c r="C57" s="65" t="s">
        <v>201</v>
      </c>
      <c r="D57" s="65"/>
      <c r="E57" s="65"/>
      <c r="F57" s="65"/>
      <c r="G57" s="65"/>
      <c r="H57" s="65"/>
      <c r="I57" s="65"/>
      <c r="J57" s="67"/>
      <c r="K57" s="67"/>
      <c r="L57" s="67"/>
      <c r="M57" s="67"/>
      <c r="N57" s="67"/>
      <c r="O57" s="67"/>
      <c r="P57" s="67"/>
      <c r="Q57" s="67"/>
      <c r="R57" s="67"/>
    </row>
    <row r="58" spans="3:18" ht="15.75" customHeight="1">
      <c r="D58" s="6" t="s">
        <v>98</v>
      </c>
      <c r="E58" s="25" t="str">
        <f>currency</f>
        <v>(₦'000)</v>
      </c>
      <c r="F58" s="18" t="s">
        <v>195</v>
      </c>
      <c r="J58" s="40"/>
      <c r="K58" s="40"/>
      <c r="L58" s="40">
        <f>BS!L34</f>
        <v>1147498</v>
      </c>
      <c r="M58" s="40">
        <f>BS!M34</f>
        <v>1147498</v>
      </c>
      <c r="N58" s="40">
        <f>BS!N34</f>
        <v>1200000</v>
      </c>
      <c r="O58" s="62">
        <f t="shared" ref="O58:R59" si="3">N58</f>
        <v>1200000</v>
      </c>
      <c r="P58" s="62">
        <f t="shared" si="3"/>
        <v>1200000</v>
      </c>
      <c r="Q58" s="62">
        <f t="shared" si="3"/>
        <v>1200000</v>
      </c>
      <c r="R58" s="62">
        <f t="shared" si="3"/>
        <v>1200000</v>
      </c>
    </row>
    <row r="59" spans="3:18" ht="15.75" customHeight="1">
      <c r="D59" s="6" t="s">
        <v>99</v>
      </c>
      <c r="E59" s="25" t="str">
        <f>currency</f>
        <v>(₦'000)</v>
      </c>
      <c r="F59" s="18" t="s">
        <v>195</v>
      </c>
      <c r="J59" s="40"/>
      <c r="K59" s="40"/>
      <c r="L59" s="40">
        <f>BS!L35</f>
        <v>4829614</v>
      </c>
      <c r="M59" s="40">
        <f>BS!M35</f>
        <v>4829614</v>
      </c>
      <c r="N59" s="40">
        <f>BS!N35</f>
        <v>5009225</v>
      </c>
      <c r="O59" s="62">
        <f t="shared" si="3"/>
        <v>5009225</v>
      </c>
      <c r="P59" s="62">
        <f t="shared" si="3"/>
        <v>5009225</v>
      </c>
      <c r="Q59" s="62">
        <f t="shared" si="3"/>
        <v>5009225</v>
      </c>
      <c r="R59" s="62">
        <f t="shared" si="3"/>
        <v>5009225</v>
      </c>
    </row>
    <row r="60" spans="3:18" ht="15.75" customHeight="1">
      <c r="D60" s="6" t="s">
        <v>202</v>
      </c>
      <c r="E60" s="6" t="s">
        <v>171</v>
      </c>
      <c r="F60" s="18" t="s">
        <v>203</v>
      </c>
      <c r="J60" s="40"/>
      <c r="K60" s="40"/>
      <c r="L60" s="68">
        <f>Historical!L127/'P or L'!L30</f>
        <v>0.34988647555309038</v>
      </c>
      <c r="M60" s="68">
        <f>Historical!M127/'P or L'!M30</f>
        <v>0.31302786588566439</v>
      </c>
      <c r="N60" s="68">
        <f>Historical!N127/'P or L'!N30</f>
        <v>0.23211922486355141</v>
      </c>
      <c r="O60" s="69">
        <v>0.29834452210076873</v>
      </c>
      <c r="P60" s="69">
        <v>0.29834452210076873</v>
      </c>
      <c r="Q60" s="69">
        <v>0.29834452210076873</v>
      </c>
      <c r="R60" s="69">
        <v>0.29834452210076873</v>
      </c>
    </row>
    <row r="61" spans="3:18" ht="15.75" customHeight="1">
      <c r="D61" s="56" t="s">
        <v>204</v>
      </c>
      <c r="E61" s="25" t="str">
        <f>currency</f>
        <v>(₦'000)</v>
      </c>
      <c r="F61" s="18" t="s">
        <v>195</v>
      </c>
      <c r="J61" s="40"/>
      <c r="K61" s="40"/>
      <c r="L61" s="40">
        <f>BS!L37</f>
        <v>3285</v>
      </c>
      <c r="M61" s="40">
        <f>BS!M37</f>
        <v>4655</v>
      </c>
      <c r="N61" s="40">
        <f>BS!N37</f>
        <v>7915</v>
      </c>
      <c r="O61" s="62">
        <f>N61</f>
        <v>7915</v>
      </c>
      <c r="P61" s="62">
        <f>O61</f>
        <v>7915</v>
      </c>
      <c r="Q61" s="62">
        <f>P61</f>
        <v>7915</v>
      </c>
      <c r="R61" s="62">
        <f>Q61</f>
        <v>7915</v>
      </c>
    </row>
    <row r="62" spans="3:18" ht="15.75" customHeight="1">
      <c r="F62" s="18"/>
      <c r="J62" s="40"/>
      <c r="K62" s="40"/>
      <c r="L62" s="40"/>
      <c r="M62" s="40"/>
      <c r="N62" s="40"/>
      <c r="O62" s="40"/>
      <c r="P62" s="40"/>
      <c r="Q62" s="40"/>
      <c r="R62" s="40"/>
    </row>
    <row r="63" spans="3:18" ht="15.75" customHeight="1">
      <c r="C63" s="65" t="s">
        <v>205</v>
      </c>
      <c r="D63" s="65"/>
      <c r="E63" s="65"/>
      <c r="F63" s="65"/>
      <c r="G63" s="65"/>
      <c r="H63" s="65"/>
      <c r="I63" s="65"/>
      <c r="J63" s="67"/>
      <c r="K63" s="67"/>
      <c r="L63" s="67"/>
      <c r="M63" s="67"/>
      <c r="N63" s="67"/>
      <c r="O63" s="67"/>
      <c r="P63" s="67"/>
      <c r="Q63" s="67"/>
      <c r="R63" s="67"/>
    </row>
    <row r="64" spans="3:18" ht="15.75" customHeight="1">
      <c r="D64" s="6" t="s">
        <v>206</v>
      </c>
      <c r="E64" s="25" t="str">
        <f>currency</f>
        <v>(₦'000)</v>
      </c>
      <c r="F64" s="18" t="s">
        <v>182</v>
      </c>
      <c r="J64" s="40"/>
      <c r="K64" s="40"/>
      <c r="L64" s="40">
        <f>Historical!L130</f>
        <v>11105017</v>
      </c>
      <c r="M64" s="40">
        <f>Historical!M130</f>
        <v>8300000</v>
      </c>
      <c r="N64" s="40">
        <f>Historical!N130</f>
        <v>6000000</v>
      </c>
      <c r="O64" s="62">
        <f>Historical!O130</f>
        <v>8468339</v>
      </c>
      <c r="P64" s="62">
        <f>Historical!P130</f>
        <v>7589446.333333333</v>
      </c>
      <c r="Q64" s="62">
        <f>Historical!Q130</f>
        <v>7352595.111111111</v>
      </c>
      <c r="R64" s="62">
        <f>Historical!R130</f>
        <v>7803460.1481481483</v>
      </c>
    </row>
    <row r="65" spans="3:20" ht="15.75" customHeight="1">
      <c r="D65" s="6" t="s">
        <v>207</v>
      </c>
      <c r="E65" s="25" t="str">
        <f>currency</f>
        <v>(₦'000)</v>
      </c>
      <c r="F65" s="18" t="s">
        <v>182</v>
      </c>
      <c r="J65" s="40"/>
      <c r="K65" s="40"/>
      <c r="L65" s="40">
        <f>Historical!L129</f>
        <v>3602836</v>
      </c>
      <c r="M65" s="40">
        <f>Historical!M129</f>
        <v>9685504</v>
      </c>
      <c r="N65" s="40">
        <f>Historical!N129</f>
        <v>8709925</v>
      </c>
      <c r="O65" s="62">
        <f>Historical!O129</f>
        <v>7332755</v>
      </c>
      <c r="P65" s="62">
        <f>Historical!P129</f>
        <v>8576061.333333334</v>
      </c>
      <c r="Q65" s="62">
        <f>Historical!Q129</f>
        <v>8206247.1111111119</v>
      </c>
      <c r="R65" s="62">
        <f>Historical!R129</f>
        <v>8038354.4814814823</v>
      </c>
    </row>
    <row r="66" spans="3:20" ht="15.75" customHeight="1">
      <c r="D66" s="6" t="s">
        <v>321</v>
      </c>
      <c r="E66" s="6" t="s">
        <v>171</v>
      </c>
      <c r="F66" s="18" t="s">
        <v>208</v>
      </c>
      <c r="J66" s="40"/>
      <c r="K66" s="40"/>
      <c r="L66" s="68">
        <f>Historical!L129/BS!K42</f>
        <v>0.31207294818504389</v>
      </c>
      <c r="M66" s="68">
        <f>Historical!M129/BS!L42</f>
        <v>0.54492861581549801</v>
      </c>
      <c r="N66" s="68">
        <f>Historical!N129/BS!M42</f>
        <v>0.54446191821774015</v>
      </c>
      <c r="O66" s="69">
        <v>0.46715449407276072</v>
      </c>
      <c r="P66" s="69">
        <v>0.46715449407276072</v>
      </c>
      <c r="Q66" s="69">
        <v>0.46715449407276072</v>
      </c>
      <c r="R66" s="69">
        <v>0.46715449407276072</v>
      </c>
    </row>
    <row r="67" spans="3:20" ht="15.75" customHeight="1">
      <c r="F67" s="18"/>
      <c r="J67" s="40"/>
      <c r="K67" s="40"/>
      <c r="L67" s="40"/>
      <c r="M67" s="40"/>
      <c r="N67" s="40"/>
      <c r="O67" s="40"/>
      <c r="P67" s="40"/>
      <c r="Q67" s="40"/>
      <c r="R67" s="40"/>
    </row>
    <row r="68" spans="3:20" ht="15.75" customHeight="1">
      <c r="C68" s="65" t="s">
        <v>209</v>
      </c>
      <c r="D68" s="65"/>
      <c r="E68" s="65"/>
      <c r="F68" s="65"/>
      <c r="G68" s="65"/>
      <c r="H68" s="65"/>
      <c r="I68" s="65"/>
      <c r="J68" s="67"/>
      <c r="K68" s="67"/>
      <c r="L68" s="67"/>
      <c r="M68" s="67"/>
      <c r="N68" s="67"/>
      <c r="O68" s="67"/>
      <c r="P68" s="67"/>
      <c r="Q68" s="67"/>
      <c r="R68" s="67"/>
    </row>
    <row r="69" spans="3:20" ht="15.75" customHeight="1">
      <c r="D69" s="6" t="str">
        <f>BS!D43</f>
        <v>Retirement benefit obligation</v>
      </c>
      <c r="E69" s="25" t="str">
        <f>currency</f>
        <v>(₦'000)</v>
      </c>
      <c r="F69" s="18" t="s">
        <v>195</v>
      </c>
      <c r="J69" s="40"/>
      <c r="K69" s="40"/>
      <c r="L69" s="40">
        <f>BS!L43</f>
        <v>252158</v>
      </c>
      <c r="M69" s="40">
        <f>BS!M43</f>
        <v>251090</v>
      </c>
      <c r="N69" s="40">
        <f>BS!N43</f>
        <v>160139</v>
      </c>
      <c r="O69" s="62">
        <f t="shared" ref="O69:R70" si="4">N69</f>
        <v>160139</v>
      </c>
      <c r="P69" s="62">
        <f t="shared" si="4"/>
        <v>160139</v>
      </c>
      <c r="Q69" s="62">
        <f t="shared" si="4"/>
        <v>160139</v>
      </c>
      <c r="R69" s="62">
        <f t="shared" si="4"/>
        <v>160139</v>
      </c>
    </row>
    <row r="70" spans="3:20" ht="15.75" customHeight="1">
      <c r="D70" s="6" t="str">
        <f>BS!D44</f>
        <v>Government grant</v>
      </c>
      <c r="E70" s="25" t="str">
        <f>currency</f>
        <v>(₦'000)</v>
      </c>
      <c r="F70" s="18" t="s">
        <v>195</v>
      </c>
      <c r="J70" s="40"/>
      <c r="K70" s="40"/>
      <c r="L70" s="40">
        <f>BS!L44</f>
        <v>1001826</v>
      </c>
      <c r="M70" s="40">
        <f>BS!M44</f>
        <v>1278086</v>
      </c>
      <c r="N70" s="40">
        <f>BS!N44</f>
        <v>634755</v>
      </c>
      <c r="O70" s="62">
        <f t="shared" si="4"/>
        <v>634755</v>
      </c>
      <c r="P70" s="62">
        <f t="shared" si="4"/>
        <v>634755</v>
      </c>
      <c r="Q70" s="62">
        <f t="shared" si="4"/>
        <v>634755</v>
      </c>
      <c r="R70" s="62">
        <f t="shared" si="4"/>
        <v>634755</v>
      </c>
      <c r="T70" s="75"/>
    </row>
    <row r="71" spans="3:20" ht="15.75" customHeight="1">
      <c r="D71" s="6" t="str">
        <f>BS!D45</f>
        <v>Deferred Tax Liability</v>
      </c>
      <c r="E71" s="25" t="str">
        <f>currency</f>
        <v>(₦'000)</v>
      </c>
      <c r="F71" s="18" t="s">
        <v>195</v>
      </c>
      <c r="J71" s="40"/>
      <c r="K71" s="40"/>
      <c r="L71" s="40">
        <f>BS!L45</f>
        <v>2871885</v>
      </c>
      <c r="M71" s="40">
        <f>BS!M45</f>
        <v>3836608</v>
      </c>
      <c r="N71" s="40">
        <f>BS!N45</f>
        <v>4676504</v>
      </c>
      <c r="O71" s="62">
        <f>N71</f>
        <v>4676504</v>
      </c>
      <c r="P71" s="62">
        <f>AVERAGE(M71:O71)</f>
        <v>4396538.666666667</v>
      </c>
      <c r="Q71" s="62">
        <f>AVERAGE(N71:P71)</f>
        <v>4583182.2222222229</v>
      </c>
      <c r="R71" s="62">
        <f>AVERAGE(O71:Q71)</f>
        <v>4552074.9629629636</v>
      </c>
    </row>
    <row r="72" spans="3:20" ht="15.75" customHeight="1">
      <c r="F72" s="18"/>
      <c r="J72" s="40"/>
      <c r="K72" s="40"/>
      <c r="L72" s="40"/>
      <c r="M72" s="40"/>
      <c r="N72" s="40"/>
      <c r="O72" s="40"/>
      <c r="P72" s="40"/>
      <c r="Q72" s="40"/>
      <c r="R72" s="40"/>
    </row>
    <row r="73" spans="3:20" ht="15.75" customHeight="1">
      <c r="C73" s="74" t="s">
        <v>210</v>
      </c>
      <c r="D73" s="65"/>
      <c r="E73" s="65"/>
      <c r="F73" s="65"/>
      <c r="G73" s="65"/>
      <c r="H73" s="65"/>
      <c r="I73" s="65"/>
      <c r="J73" s="67"/>
      <c r="K73" s="67"/>
      <c r="L73" s="67"/>
      <c r="M73" s="67"/>
      <c r="N73" s="67"/>
      <c r="O73" s="67"/>
      <c r="P73" s="67"/>
      <c r="Q73" s="67"/>
      <c r="R73" s="67"/>
    </row>
    <row r="74" spans="3:20" ht="15.75" customHeight="1">
      <c r="D74" s="56" t="s">
        <v>211</v>
      </c>
      <c r="E74" s="25" t="str">
        <f>currency</f>
        <v>(₦'000)</v>
      </c>
      <c r="F74" s="18" t="s">
        <v>182</v>
      </c>
      <c r="J74" s="40"/>
      <c r="K74" s="40"/>
      <c r="L74" s="40">
        <f>Historical!L133</f>
        <v>10000000</v>
      </c>
      <c r="M74" s="40">
        <f>Historical!M133</f>
        <v>15646950</v>
      </c>
      <c r="N74" s="40">
        <f>Historical!N133</f>
        <v>19645345</v>
      </c>
      <c r="O74" s="62">
        <v>15097431.666666666</v>
      </c>
      <c r="P74" s="62">
        <v>15097431.666666666</v>
      </c>
      <c r="Q74" s="62">
        <v>15097431.666666666</v>
      </c>
      <c r="R74" s="62">
        <v>15097431.666666666</v>
      </c>
    </row>
    <row r="75" spans="3:20" ht="15.75" customHeight="1">
      <c r="D75" s="6" t="s">
        <v>207</v>
      </c>
      <c r="E75" s="25" t="str">
        <f>currency</f>
        <v>(₦'000)</v>
      </c>
      <c r="F75" s="18" t="s">
        <v>182</v>
      </c>
      <c r="J75" s="40"/>
      <c r="K75" s="40"/>
      <c r="L75" s="40">
        <f>Historical!L132</f>
        <v>3000000</v>
      </c>
      <c r="M75" s="40">
        <f>Historical!M132</f>
        <v>10000000</v>
      </c>
      <c r="N75" s="40">
        <f>Historical!N132</f>
        <v>15646950</v>
      </c>
      <c r="O75" s="62">
        <v>9548983.333333334</v>
      </c>
      <c r="P75" s="62">
        <v>9548983.333333334</v>
      </c>
      <c r="Q75" s="62">
        <v>9548983.333333334</v>
      </c>
      <c r="R75" s="62">
        <v>9548983.333333334</v>
      </c>
    </row>
    <row r="76" spans="3:20" ht="15.75" customHeight="1">
      <c r="D76" s="56" t="s">
        <v>322</v>
      </c>
      <c r="E76" s="6" t="s">
        <v>171</v>
      </c>
      <c r="F76" s="18" t="s">
        <v>208</v>
      </c>
      <c r="J76" s="40"/>
      <c r="K76" s="40"/>
      <c r="L76" s="68">
        <f>Historical!L132/BS!K51</f>
        <v>1</v>
      </c>
      <c r="M76" s="68">
        <f>Historical!M132/BS!L51</f>
        <v>1</v>
      </c>
      <c r="N76" s="68">
        <f>Historical!N132/BS!M51</f>
        <v>1</v>
      </c>
      <c r="O76" s="69">
        <v>1</v>
      </c>
      <c r="P76" s="69">
        <v>1</v>
      </c>
      <c r="Q76" s="69">
        <v>1</v>
      </c>
      <c r="R76" s="69">
        <v>1</v>
      </c>
    </row>
    <row r="77" spans="3:20" ht="15.75" customHeight="1">
      <c r="F77" s="18"/>
      <c r="J77" s="40"/>
      <c r="K77" s="40"/>
      <c r="L77" s="40"/>
      <c r="M77" s="40"/>
      <c r="N77" s="40"/>
      <c r="O77" s="40"/>
      <c r="P77" s="40"/>
      <c r="Q77" s="40"/>
      <c r="R77" s="40"/>
    </row>
    <row r="78" spans="3:20" ht="15.75" customHeight="1">
      <c r="C78" s="74" t="s">
        <v>212</v>
      </c>
      <c r="D78" s="65"/>
      <c r="E78" s="65"/>
      <c r="F78" s="65"/>
      <c r="G78" s="65"/>
      <c r="H78" s="65"/>
      <c r="I78" s="65"/>
      <c r="J78" s="67"/>
      <c r="K78" s="67"/>
      <c r="L78" s="67"/>
      <c r="M78" s="67"/>
      <c r="N78" s="67"/>
      <c r="O78" s="67"/>
      <c r="P78" s="67"/>
      <c r="Q78" s="67"/>
      <c r="R78" s="67"/>
    </row>
    <row r="79" spans="3:20" ht="15.75" customHeight="1">
      <c r="D79" s="6" t="s">
        <v>213</v>
      </c>
      <c r="E79" s="6" t="s">
        <v>171</v>
      </c>
      <c r="F79" s="18" t="s">
        <v>200</v>
      </c>
      <c r="J79" s="40"/>
      <c r="K79" s="40"/>
      <c r="L79" s="68">
        <f>BS!L48/'P or L'!L14</f>
        <v>0.2381289148026117</v>
      </c>
      <c r="M79" s="68">
        <f>BS!M48/'P or L'!M14</f>
        <v>0.18608698199207302</v>
      </c>
      <c r="N79" s="68">
        <f>BS!N48/'P or L'!N14</f>
        <v>6.7077808874818623E-2</v>
      </c>
      <c r="O79" s="69">
        <v>0.16376456855650112</v>
      </c>
      <c r="P79" s="69">
        <v>0.16376456855650112</v>
      </c>
      <c r="Q79" s="69">
        <v>0.16376456855650112</v>
      </c>
      <c r="R79" s="69">
        <v>0.16376456855650112</v>
      </c>
    </row>
    <row r="80" spans="3:20" ht="15.75" customHeight="1">
      <c r="D80" s="6" t="s">
        <v>152</v>
      </c>
      <c r="E80" s="25" t="str">
        <f>currency</f>
        <v>(₦'000)</v>
      </c>
      <c r="F80" s="18" t="s">
        <v>195</v>
      </c>
      <c r="J80" s="40"/>
      <c r="K80" s="40"/>
      <c r="L80" s="40">
        <f>BS!L49</f>
        <v>2127952</v>
      </c>
      <c r="M80" s="40">
        <f>BS!M49</f>
        <v>1927978</v>
      </c>
      <c r="N80" s="40">
        <f>BS!N49</f>
        <v>2262787</v>
      </c>
      <c r="O80" s="62">
        <f>N80</f>
        <v>2262787</v>
      </c>
      <c r="P80" s="62">
        <f>O80</f>
        <v>2262787</v>
      </c>
      <c r="Q80" s="62">
        <f>P80</f>
        <v>2262787</v>
      </c>
      <c r="R80" s="62">
        <f>Q80</f>
        <v>2262787</v>
      </c>
    </row>
    <row r="81" spans="4:18" ht="15.75" customHeight="1">
      <c r="D81" s="6" t="str">
        <f>BS!D50</f>
        <v>Bank Overdraft</v>
      </c>
      <c r="E81" s="25" t="str">
        <f>currency</f>
        <v>(₦'000)</v>
      </c>
      <c r="F81" s="18" t="s">
        <v>326</v>
      </c>
      <c r="J81" s="40"/>
      <c r="K81" s="40"/>
      <c r="L81" s="40">
        <f>BS!L50</f>
        <v>781784</v>
      </c>
      <c r="M81" s="40">
        <f>BS!M50</f>
        <v>1283797</v>
      </c>
      <c r="N81" s="40">
        <f>BS!N50</f>
        <v>9528</v>
      </c>
      <c r="O81" s="62">
        <f>Calculation!O117</f>
        <v>4384741.4601158854</v>
      </c>
      <c r="P81" s="62">
        <f>Calculation!P117</f>
        <v>8940313.6102660224</v>
      </c>
      <c r="Q81" s="62">
        <f>Calculation!Q117</f>
        <v>10380610.21907552</v>
      </c>
      <c r="R81" s="62">
        <f>Calculation!R117</f>
        <v>5922617.1774356896</v>
      </c>
    </row>
    <row r="82" spans="4:18" ht="15.75" customHeight="1">
      <c r="D82" s="56" t="s">
        <v>115</v>
      </c>
      <c r="E82" s="25" t="str">
        <f>currency</f>
        <v>(₦'000)</v>
      </c>
      <c r="F82" s="18" t="s">
        <v>195</v>
      </c>
      <c r="J82" s="40"/>
      <c r="K82" s="40"/>
      <c r="L82" s="40">
        <f>BS!L52</f>
        <v>839094</v>
      </c>
      <c r="M82" s="40">
        <f>BS!M52</f>
        <v>2349129</v>
      </c>
      <c r="N82" s="40">
        <f>BS!N52</f>
        <v>4250709</v>
      </c>
      <c r="O82" s="62">
        <f>N82</f>
        <v>4250709</v>
      </c>
      <c r="P82" s="62">
        <f>O82</f>
        <v>4250709</v>
      </c>
      <c r="Q82" s="62">
        <f>P82</f>
        <v>4250709</v>
      </c>
      <c r="R82" s="62">
        <f>Q82</f>
        <v>4250709</v>
      </c>
    </row>
    <row r="83" spans="4:18" ht="15.75" customHeight="1">
      <c r="F83" s="18"/>
      <c r="J83" s="40"/>
      <c r="K83" s="40"/>
      <c r="L83" s="40"/>
      <c r="M83" s="40"/>
      <c r="N83" s="40"/>
      <c r="O83" s="40"/>
      <c r="P83" s="40"/>
      <c r="Q83" s="40"/>
      <c r="R83" s="40"/>
    </row>
    <row r="84" spans="4:18" ht="15.75" customHeight="1">
      <c r="D84" s="56" t="s">
        <v>323</v>
      </c>
      <c r="E84" s="25" t="str">
        <f>currency</f>
        <v>(₦'000)</v>
      </c>
      <c r="F84" s="18" t="s">
        <v>324</v>
      </c>
      <c r="J84" s="40"/>
      <c r="K84" s="40"/>
      <c r="L84" s="40"/>
      <c r="M84" s="40"/>
      <c r="N84" s="40"/>
      <c r="O84" s="62">
        <v>2000000</v>
      </c>
      <c r="P84" s="62">
        <v>2000000</v>
      </c>
      <c r="Q84" s="62">
        <v>2000000</v>
      </c>
      <c r="R84" s="62">
        <v>2000000</v>
      </c>
    </row>
    <row r="85" spans="4:18" ht="15.75" customHeight="1">
      <c r="F85" s="18"/>
      <c r="J85" s="40"/>
      <c r="K85" s="40"/>
      <c r="L85" s="40"/>
      <c r="M85" s="40"/>
      <c r="N85" s="40"/>
      <c r="O85" s="40"/>
      <c r="P85" s="40"/>
      <c r="Q85" s="40"/>
      <c r="R85" s="40"/>
    </row>
    <row r="86" spans="4:18" ht="15.75" customHeight="1">
      <c r="F86" s="18"/>
      <c r="J86" s="40"/>
      <c r="K86" s="40"/>
      <c r="L86" s="40"/>
      <c r="M86" s="40"/>
      <c r="N86" s="40"/>
      <c r="O86" s="40"/>
      <c r="P86" s="40"/>
      <c r="Q86" s="40"/>
      <c r="R86" s="40"/>
    </row>
    <row r="87" spans="4:18" ht="15.75" customHeight="1">
      <c r="F87" s="18"/>
      <c r="J87" s="40"/>
      <c r="K87" s="40"/>
      <c r="L87" s="40"/>
      <c r="M87" s="40"/>
      <c r="N87" s="40"/>
      <c r="O87" s="40"/>
      <c r="P87" s="40"/>
      <c r="Q87" s="40"/>
      <c r="R87" s="40"/>
    </row>
    <row r="88" spans="4:18" ht="15.75" customHeight="1">
      <c r="F88" s="18"/>
      <c r="J88" s="40"/>
      <c r="K88" s="40"/>
      <c r="L88" s="40"/>
      <c r="M88" s="40"/>
      <c r="N88" s="40"/>
      <c r="O88" s="40"/>
      <c r="P88" s="40"/>
      <c r="Q88" s="40"/>
      <c r="R88" s="40"/>
    </row>
    <row r="89" spans="4:18" ht="15.75" customHeight="1">
      <c r="F89" s="18"/>
      <c r="J89" s="40"/>
      <c r="K89" s="40"/>
      <c r="L89" s="40"/>
      <c r="M89" s="40"/>
      <c r="N89" s="40"/>
      <c r="O89" s="40"/>
      <c r="P89" s="40"/>
      <c r="Q89" s="40"/>
      <c r="R89" s="40"/>
    </row>
    <row r="90" spans="4:18" ht="15.75" customHeight="1">
      <c r="F90" s="18"/>
      <c r="J90" s="40"/>
      <c r="K90" s="40"/>
      <c r="L90" s="40"/>
      <c r="M90" s="40"/>
      <c r="N90" s="40"/>
      <c r="O90" s="40"/>
      <c r="P90" s="40"/>
      <c r="Q90" s="40"/>
      <c r="R90" s="40"/>
    </row>
    <row r="91" spans="4:18" ht="15.75" customHeight="1">
      <c r="F91" s="18"/>
      <c r="J91" s="40"/>
      <c r="K91" s="40"/>
      <c r="L91" s="40"/>
      <c r="M91" s="40"/>
      <c r="N91" s="40"/>
      <c r="O91" s="40"/>
      <c r="P91" s="40"/>
      <c r="Q91" s="40"/>
      <c r="R91" s="40"/>
    </row>
    <row r="92" spans="4:18" ht="15.75" customHeight="1">
      <c r="F92" s="18"/>
      <c r="J92" s="40"/>
      <c r="K92" s="40"/>
      <c r="L92" s="40"/>
      <c r="M92" s="40"/>
      <c r="N92" s="40"/>
      <c r="O92" s="40"/>
      <c r="P92" s="40"/>
      <c r="Q92" s="40"/>
      <c r="R92" s="40"/>
    </row>
    <row r="93" spans="4:18" ht="15.75" customHeight="1">
      <c r="F93" s="18"/>
      <c r="J93" s="40"/>
      <c r="K93" s="40"/>
      <c r="L93" s="40"/>
      <c r="M93" s="40"/>
      <c r="N93" s="40"/>
      <c r="O93" s="40"/>
      <c r="P93" s="40"/>
      <c r="Q93" s="40"/>
      <c r="R93" s="40"/>
    </row>
    <row r="94" spans="4:18" ht="15.75" customHeight="1">
      <c r="F94" s="18"/>
      <c r="J94" s="40"/>
      <c r="K94" s="40"/>
      <c r="L94" s="40"/>
      <c r="M94" s="40"/>
      <c r="N94" s="40"/>
      <c r="O94" s="40"/>
      <c r="P94" s="40"/>
      <c r="Q94" s="40"/>
      <c r="R94" s="40"/>
    </row>
    <row r="95" spans="4:18" ht="15.75" customHeight="1">
      <c r="F95" s="18"/>
      <c r="J95" s="40"/>
      <c r="K95" s="40"/>
      <c r="L95" s="40"/>
      <c r="M95" s="40"/>
      <c r="N95" s="40"/>
      <c r="O95" s="40"/>
      <c r="P95" s="40"/>
      <c r="Q95" s="40"/>
      <c r="R95" s="40"/>
    </row>
    <row r="96" spans="4:18" ht="15.75" customHeight="1">
      <c r="F96" s="18"/>
      <c r="J96" s="40"/>
      <c r="K96" s="40"/>
      <c r="L96" s="40"/>
      <c r="M96" s="40"/>
      <c r="N96" s="40"/>
      <c r="O96" s="40"/>
      <c r="P96" s="40"/>
      <c r="Q96" s="40"/>
      <c r="R96" s="40"/>
    </row>
    <row r="97" spans="6:18" ht="15.75" customHeight="1">
      <c r="F97" s="18"/>
      <c r="J97" s="40"/>
      <c r="K97" s="40"/>
      <c r="L97" s="40"/>
      <c r="M97" s="40"/>
      <c r="N97" s="40"/>
      <c r="O97" s="40"/>
      <c r="P97" s="40"/>
      <c r="Q97" s="40"/>
      <c r="R97" s="40"/>
    </row>
    <row r="98" spans="6:18" ht="15.75" customHeight="1">
      <c r="F98" s="18"/>
      <c r="J98" s="40"/>
      <c r="K98" s="40"/>
      <c r="L98" s="40"/>
      <c r="M98" s="40"/>
      <c r="N98" s="40"/>
      <c r="O98" s="40"/>
      <c r="P98" s="40"/>
      <c r="Q98" s="40"/>
      <c r="R98" s="40"/>
    </row>
    <row r="99" spans="6:18" ht="15.75" customHeight="1">
      <c r="F99" s="18"/>
      <c r="J99" s="40"/>
      <c r="K99" s="40"/>
      <c r="L99" s="40"/>
      <c r="M99" s="40"/>
      <c r="N99" s="40"/>
      <c r="O99" s="40"/>
      <c r="P99" s="40"/>
      <c r="Q99" s="40"/>
      <c r="R99" s="40"/>
    </row>
    <row r="100" spans="6:18" ht="15.75" customHeight="1">
      <c r="F100" s="18"/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6:18" ht="15.75" customHeight="1">
      <c r="F101" s="18"/>
      <c r="J101" s="40"/>
      <c r="K101" s="40"/>
      <c r="L101" s="40"/>
      <c r="M101" s="40"/>
      <c r="N101" s="40"/>
      <c r="O101" s="40"/>
      <c r="P101" s="40"/>
      <c r="Q101" s="40"/>
      <c r="R101" s="40"/>
    </row>
    <row r="102" spans="6:18" ht="15.75" customHeight="1">
      <c r="F102" s="18"/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6:18" ht="15.75" customHeight="1">
      <c r="F103" s="18"/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6:18" ht="15.75" customHeight="1">
      <c r="F104" s="18"/>
      <c r="J104" s="40"/>
      <c r="K104" s="40"/>
      <c r="L104" s="40"/>
      <c r="M104" s="40"/>
      <c r="N104" s="40"/>
      <c r="O104" s="40"/>
      <c r="P104" s="40"/>
      <c r="Q104" s="40"/>
      <c r="R104" s="40"/>
    </row>
    <row r="105" spans="6:18" ht="15.75" customHeight="1">
      <c r="F105" s="18"/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6:18" ht="15.75" customHeight="1">
      <c r="F106" s="18"/>
      <c r="J106" s="40"/>
      <c r="K106" s="40"/>
      <c r="L106" s="40"/>
      <c r="M106" s="40"/>
      <c r="N106" s="40"/>
      <c r="O106" s="40"/>
      <c r="P106" s="40"/>
      <c r="Q106" s="40"/>
      <c r="R106" s="40"/>
    </row>
    <row r="107" spans="6:18" ht="15.75" customHeight="1">
      <c r="F107" s="18"/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6:18" ht="15.75" customHeight="1">
      <c r="F108" s="18"/>
      <c r="J108" s="40"/>
      <c r="K108" s="40"/>
      <c r="L108" s="40"/>
      <c r="M108" s="40"/>
      <c r="N108" s="40"/>
      <c r="O108" s="40"/>
      <c r="P108" s="40"/>
      <c r="Q108" s="40"/>
      <c r="R108" s="40"/>
    </row>
    <row r="109" spans="6:18" ht="15.75" customHeight="1">
      <c r="F109" s="18"/>
      <c r="J109" s="40"/>
      <c r="K109" s="40"/>
      <c r="L109" s="40"/>
      <c r="M109" s="40"/>
      <c r="N109" s="40"/>
      <c r="O109" s="40"/>
      <c r="P109" s="40"/>
      <c r="Q109" s="40"/>
      <c r="R109" s="40"/>
    </row>
    <row r="110" spans="6:18" ht="15.75" customHeight="1">
      <c r="F110" s="18"/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6:18" ht="15.75" customHeight="1">
      <c r="F111" s="18"/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6:18" ht="15.75" customHeight="1">
      <c r="F112" s="18"/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6:18" ht="15.75" customHeight="1">
      <c r="F113" s="18"/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6:18" ht="15.75" customHeight="1">
      <c r="F114" s="18"/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6:18" ht="15.75" customHeight="1">
      <c r="F115" s="18"/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6:18" ht="15.75" customHeight="1">
      <c r="F116" s="18"/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6:18" ht="15.75" customHeight="1">
      <c r="F117" s="18"/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6:18" ht="15.75" customHeight="1">
      <c r="F118" s="18"/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6:18" ht="15.75" customHeight="1">
      <c r="F119" s="18"/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6:18" ht="15.75" customHeight="1">
      <c r="F120" s="18"/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6:18" ht="15.75" customHeight="1">
      <c r="F121" s="18"/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6:18" ht="15.75" customHeight="1">
      <c r="F122" s="18"/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6:18" ht="15.75" customHeight="1">
      <c r="F123" s="18"/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6:18" ht="15.75" customHeight="1">
      <c r="F124" s="18"/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6:18" ht="15.75" customHeight="1">
      <c r="F125" s="18"/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6:18" ht="15.75" customHeight="1">
      <c r="F126" s="18"/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6:18" ht="15.75" customHeight="1">
      <c r="F127" s="18"/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6:18" ht="15.75" customHeight="1">
      <c r="F128" s="18"/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6:18" ht="15.75" customHeight="1">
      <c r="F129" s="18"/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6:18" ht="15.75" customHeight="1">
      <c r="F130" s="18"/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6:18" ht="15.75" customHeight="1">
      <c r="F131" s="18"/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6:18" ht="15.75" customHeight="1">
      <c r="F132" s="18"/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6:18" ht="15.75" customHeight="1">
      <c r="F133" s="18"/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6:18" ht="15.75" customHeight="1">
      <c r="F134" s="18"/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6:18" ht="15.75" customHeight="1">
      <c r="F135" s="18"/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6:18" ht="15.75" customHeight="1">
      <c r="F136" s="18"/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6:18" ht="15.75" customHeight="1">
      <c r="F137" s="18"/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6:18" ht="15.75" customHeight="1">
      <c r="F138" s="18"/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6:18" ht="15.75" customHeight="1">
      <c r="F139" s="18"/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6:18" ht="15.75" customHeight="1">
      <c r="F140" s="18"/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6:18" ht="15.75" customHeight="1">
      <c r="F141" s="18"/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6:18" ht="15.75" customHeight="1">
      <c r="F142" s="18"/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6:18" ht="15.75" customHeight="1">
      <c r="F143" s="18"/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6:18" ht="15.75" customHeight="1">
      <c r="F144" s="18"/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6:18" ht="15.75" customHeight="1">
      <c r="F145" s="18"/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6:18" ht="15.75" customHeight="1">
      <c r="F146" s="18"/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6:18" ht="15.75" customHeight="1">
      <c r="F147" s="18"/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6:18" ht="15.75" customHeight="1">
      <c r="F148" s="18"/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6:18" ht="15.75" customHeight="1">
      <c r="F149" s="18"/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6:18" ht="15.75" customHeight="1">
      <c r="F150" s="18"/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6:18" ht="15.75" customHeight="1">
      <c r="F151" s="18"/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6:18" ht="15.75" customHeight="1">
      <c r="F152" s="18"/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6:18" ht="15.75" customHeight="1">
      <c r="F153" s="18"/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6:18" ht="15.75" customHeight="1">
      <c r="F154" s="18"/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6:18" ht="15.75" customHeight="1">
      <c r="F155" s="18"/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6:18" ht="15.75" customHeight="1">
      <c r="F156" s="18"/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6:18" ht="15.75" customHeight="1">
      <c r="F157" s="18"/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6:18" ht="15.75" customHeight="1">
      <c r="F158" s="18"/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6:18" ht="15.75" customHeight="1">
      <c r="F159" s="18"/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6:18" ht="15.75" customHeight="1">
      <c r="F160" s="18"/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6:18" ht="15.75" customHeight="1">
      <c r="F161" s="18"/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6:18" ht="15.75" customHeight="1">
      <c r="F162" s="18"/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6:18" ht="15.75" customHeight="1">
      <c r="F163" s="18"/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6:18" ht="15.75" customHeight="1">
      <c r="F164" s="18"/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6:18" ht="15.75" customHeight="1">
      <c r="F165" s="18"/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6:18" ht="15.75" customHeight="1">
      <c r="F166" s="18"/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6:18" ht="15.75" customHeight="1">
      <c r="F167" s="18"/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6:18" ht="15.75" customHeight="1">
      <c r="F168" s="18"/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6:18" ht="15.75" customHeight="1">
      <c r="F169" s="18"/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6:18" ht="15.75" customHeight="1">
      <c r="F170" s="18"/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6:18" ht="15.75" customHeight="1">
      <c r="F171" s="18"/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6:18" ht="15.75" customHeight="1">
      <c r="F172" s="18"/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6:18" ht="15.75" customHeight="1">
      <c r="F173" s="18"/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6:18" ht="15.75" customHeight="1">
      <c r="F174" s="18"/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6:18" ht="15.75" customHeight="1">
      <c r="F175" s="18"/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6:18" ht="15.75" customHeight="1">
      <c r="F176" s="18"/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6:18" ht="15.75" customHeight="1">
      <c r="F177" s="18"/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6:18" ht="15.75" customHeight="1">
      <c r="F178" s="18"/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6:18" ht="15.75" customHeight="1">
      <c r="F179" s="18"/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6:18" ht="15.75" customHeight="1">
      <c r="F180" s="18"/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6:18" ht="15.75" customHeight="1">
      <c r="F181" s="18"/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6:18" ht="15.75" customHeight="1">
      <c r="F182" s="18"/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6:18" ht="15.75" customHeight="1">
      <c r="F183" s="18"/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6:18" ht="15.75" customHeight="1">
      <c r="F184" s="18"/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6:18" ht="15.75" customHeight="1">
      <c r="F185" s="18"/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6:18" ht="15.75" customHeight="1">
      <c r="F186" s="18"/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6:18" ht="15.75" customHeight="1">
      <c r="F187" s="18"/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6:18" ht="15.75" customHeight="1">
      <c r="F188" s="18"/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6:18" ht="15.75" customHeight="1">
      <c r="F189" s="18"/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6:18" ht="15.75" customHeight="1">
      <c r="F190" s="18"/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6:18" ht="15.75" customHeight="1">
      <c r="F191" s="18"/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6:18" ht="15.75" customHeight="1">
      <c r="F192" s="18"/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6:18" ht="15.75" customHeight="1">
      <c r="F193" s="18"/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6:18" ht="15.75" customHeight="1">
      <c r="F194" s="18"/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6:18" ht="15.75" customHeight="1">
      <c r="F195" s="18"/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6:18" ht="15.75" customHeight="1">
      <c r="F196" s="18"/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6:18" ht="15.75" customHeight="1">
      <c r="F197" s="18"/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6:18" ht="15.75" customHeight="1">
      <c r="F198" s="18"/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6:18" ht="15.75" customHeight="1">
      <c r="F199" s="18"/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6:18" ht="15.75" customHeight="1">
      <c r="F200" s="18"/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6:18" ht="15.75" customHeight="1">
      <c r="F201" s="18"/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6:18" ht="15.75" customHeight="1">
      <c r="F202" s="18"/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6:18" ht="15.75" customHeight="1">
      <c r="F203" s="18"/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6:18" ht="15.75" customHeight="1">
      <c r="F204" s="18"/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6:18" ht="15.75" customHeight="1">
      <c r="F205" s="18"/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6:18" ht="15.75" customHeight="1">
      <c r="F206" s="18"/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6:18" ht="15.75" customHeight="1">
      <c r="F207" s="18"/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6:18" ht="15.75" customHeight="1">
      <c r="F208" s="18"/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6:18" ht="15.75" customHeight="1">
      <c r="F209" s="18"/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6:18" ht="15.75" customHeight="1">
      <c r="F210" s="18"/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6:18" ht="15.75" customHeight="1">
      <c r="F211" s="18"/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6:18" ht="15.75" customHeight="1">
      <c r="F212" s="18"/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6:18" ht="15.75" customHeight="1">
      <c r="F213" s="18"/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6:18" ht="15.75" customHeight="1">
      <c r="F214" s="18"/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6:18" ht="15.75" customHeight="1">
      <c r="F215" s="18"/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6:18" ht="15.75" customHeight="1">
      <c r="F216" s="18"/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6:18" ht="15.75" customHeight="1">
      <c r="F217" s="18"/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6:18" ht="15.75" customHeight="1">
      <c r="F218" s="18"/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6:18" ht="15.75" customHeight="1">
      <c r="F219" s="18"/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6:18" ht="15.75" customHeight="1">
      <c r="F220" s="18"/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6:18" ht="15.75" customHeight="1">
      <c r="F221" s="18"/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6:18" ht="15.75" customHeight="1">
      <c r="F222" s="18"/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6:18" ht="15.75" customHeight="1">
      <c r="F223" s="18"/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6:18" ht="15.75" customHeight="1">
      <c r="F224" s="18"/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6:18" ht="15.75" customHeight="1">
      <c r="F225" s="18"/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6:18" ht="15.75" customHeight="1">
      <c r="F226" s="18"/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6:18" ht="15.75" customHeight="1">
      <c r="F227" s="18"/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6:18" ht="15.75" customHeight="1">
      <c r="F228" s="18"/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6:18" ht="15.75" customHeight="1">
      <c r="F229" s="18"/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6:18" ht="15.75" customHeight="1">
      <c r="F230" s="18"/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6:18" ht="15.75" customHeight="1">
      <c r="F231" s="18"/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6:18" ht="15.75" customHeight="1">
      <c r="F232" s="18"/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6:18" ht="15.75" customHeight="1">
      <c r="F233" s="18"/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6:18" ht="15.75" customHeight="1">
      <c r="F234" s="18"/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6:18" ht="15.75" customHeight="1">
      <c r="F235" s="18"/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6:18" ht="15.75" customHeight="1">
      <c r="F236" s="18"/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6:18" ht="15.75" customHeight="1">
      <c r="F237" s="18"/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6:18" ht="15.75" customHeight="1">
      <c r="F238" s="18"/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6:18" ht="15.75" customHeight="1">
      <c r="F239" s="18"/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6:18" ht="15.75" customHeight="1">
      <c r="F240" s="18"/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6:18" ht="15.75" customHeight="1">
      <c r="F241" s="18"/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6:18" ht="15.75" customHeight="1">
      <c r="F242" s="18"/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6:18" ht="15.75" customHeight="1">
      <c r="F243" s="18"/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6:18" ht="15.75" customHeight="1">
      <c r="F244" s="18"/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6:18" ht="15.75" customHeight="1">
      <c r="F245" s="18"/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6:18" ht="15.75" customHeight="1">
      <c r="F246" s="18"/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6:18" ht="15.75" customHeight="1">
      <c r="F247" s="18"/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6:18" ht="15.75" customHeight="1">
      <c r="F248" s="18"/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6:18" ht="15.75" customHeight="1">
      <c r="F249" s="18"/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6:18" ht="15.75" customHeight="1">
      <c r="F250" s="18"/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6:18" ht="15.75" customHeight="1">
      <c r="F251" s="18"/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6:18" ht="15.75" customHeight="1">
      <c r="F252" s="18"/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6:18" ht="15.75" customHeight="1">
      <c r="F253" s="18"/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6:18" ht="15.75" customHeight="1">
      <c r="F254" s="18"/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6:18" ht="15.75" customHeight="1">
      <c r="F255" s="18"/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6:18" ht="15.75" customHeight="1">
      <c r="F256" s="18"/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6:18" ht="15.75" customHeight="1">
      <c r="F257" s="18"/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6:18" ht="15.75" customHeight="1">
      <c r="F258" s="18"/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6:18" ht="15.75" customHeight="1">
      <c r="F259" s="18"/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6:18" ht="15.75" customHeight="1">
      <c r="F260" s="18"/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6:18" ht="15.75" customHeight="1">
      <c r="F261" s="18"/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6:18" ht="15.75" customHeight="1">
      <c r="F262" s="18"/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6:18" ht="15.75" customHeight="1">
      <c r="F263" s="18"/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6:18" ht="15.75" customHeight="1">
      <c r="F264" s="18"/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6:18" ht="15.75" customHeight="1">
      <c r="F265" s="18"/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6:18" ht="15.75" customHeight="1">
      <c r="F266" s="18"/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6:18" ht="15.75" customHeight="1">
      <c r="F267" s="18"/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6:18" ht="15.75" customHeight="1">
      <c r="F268" s="18"/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6:18" ht="15.75" customHeight="1">
      <c r="F269" s="18"/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6:18" ht="15.75" customHeight="1">
      <c r="F270" s="18"/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6:18" ht="15.75" customHeight="1">
      <c r="F271" s="18"/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6:18" ht="15.75" customHeight="1">
      <c r="F272" s="18"/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6:18" ht="15.75" customHeight="1">
      <c r="F273" s="18"/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6:18" ht="15.75" customHeight="1">
      <c r="F274" s="18"/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6:18" ht="15.75" customHeight="1">
      <c r="F275" s="18"/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6:18" ht="15.75" customHeight="1">
      <c r="F276" s="18"/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6:18" ht="15.75" customHeight="1">
      <c r="F277" s="18"/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6:18" ht="15.75" customHeight="1">
      <c r="F278" s="18"/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6:18" ht="15.75" customHeight="1">
      <c r="F279" s="18"/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6:18" ht="15.75" customHeight="1">
      <c r="F280" s="18"/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6:18" ht="15.75" customHeight="1">
      <c r="F281" s="18"/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6:18" ht="15.75" customHeight="1">
      <c r="F282" s="18"/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6:18" ht="15.75" customHeight="1"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6:18" ht="15.75" customHeight="1"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6:18" ht="15.75" customHeight="1"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6:18" ht="15.75" customHeight="1"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6:18" ht="15.75" customHeight="1"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6:18" ht="15.75" customHeight="1"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0:18" ht="15.75" customHeight="1"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0:18" ht="15.75" customHeight="1"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0:18" ht="15.75" customHeight="1"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0:18" ht="15.75" customHeight="1"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0:18" ht="15.75" customHeight="1"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0:18" ht="15.75" customHeight="1"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0:18" ht="15.75" customHeight="1"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0:18" ht="15.75" customHeight="1"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0:18" ht="15.75" customHeight="1"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0:18" ht="15.75" customHeight="1"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0:18" ht="15.75" customHeight="1"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0:18" ht="15.75" customHeight="1"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0:18" ht="15.75" customHeight="1"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0:18" ht="15.75" customHeight="1"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0:18" ht="15.75" customHeight="1"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0:18" ht="15.75" customHeight="1"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0:18" ht="15.75" customHeight="1"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0:18" ht="15.75" customHeight="1"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0:18" ht="15.75" customHeight="1"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0:18" ht="15.75" customHeight="1"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0:18" ht="15.75" customHeight="1"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0:18" ht="15.75" customHeight="1"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0:18" ht="15.75" customHeight="1"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0:18" ht="15.75" customHeight="1"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0:18" ht="15.75" customHeight="1"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0:18" ht="15.75" customHeight="1"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0:18" ht="15.75" customHeight="1"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0:18" ht="15.75" customHeight="1"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0:18" ht="15.75" customHeight="1"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0:18" ht="15.75" customHeight="1"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0:18" ht="15.75" customHeight="1"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0:18" ht="15.75" customHeight="1"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0:18" ht="15.75" customHeight="1"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0:18" ht="15.75" customHeight="1"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0:18" ht="15.75" customHeight="1"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0:18" ht="15.75" customHeight="1"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0:18" ht="15.75" customHeight="1"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0:18" ht="15.75" customHeight="1"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0:18" ht="15.75" customHeight="1"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0:18" ht="15.75" customHeight="1"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0:18" ht="15.75" customHeight="1"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0:18" ht="15.75" customHeight="1"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0:18" ht="15.75" customHeight="1"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0:18" ht="15.75" customHeight="1"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0:18" ht="15.75" customHeight="1"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0:18" ht="15.75" customHeight="1"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0:18" ht="15.75" customHeight="1"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0:18" ht="15.75" customHeight="1"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0:18" ht="15.75" customHeight="1"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0:18" ht="15.75" customHeight="1"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0:18" ht="15.75" customHeight="1"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0:18" ht="15.75" customHeight="1"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0:18" ht="15.75" customHeight="1"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0:18" ht="15.75" customHeight="1"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0:18" ht="15.75" customHeight="1"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0:18" ht="15.75" customHeight="1"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0:18" ht="15.75" customHeight="1"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0:18" ht="15.75" customHeight="1"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0:18" ht="15.75" customHeight="1"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0:18" ht="15.75" customHeight="1"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0:18" ht="15.75" customHeight="1"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0:18" ht="15.75" customHeight="1"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0:18" ht="15.75" customHeight="1"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0:18" ht="15.75" customHeight="1"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0:18" ht="15.75" customHeight="1"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0:18" ht="15.75" customHeight="1"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0:18" ht="15.75" customHeight="1"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0:18" ht="15.75" customHeight="1"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0:18" ht="15.75" customHeight="1"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0:18" ht="15.75" customHeight="1"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0:18" ht="15.75" customHeight="1"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0:18" ht="15.75" customHeight="1"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0:18" ht="15.75" customHeight="1"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0:18" ht="15.75" customHeight="1"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0:18" ht="15.75" customHeight="1"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0:18" ht="15.75" customHeight="1"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0:18" ht="15.75" customHeight="1"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0:18" ht="15.75" customHeight="1"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0:18" ht="15.75" customHeight="1"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0:18" ht="15.75" customHeight="1"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0:18" ht="15.75" customHeight="1"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0:18" ht="15.75" customHeight="1"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0:18" ht="15.75" customHeight="1"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0:18" ht="15.75" customHeight="1"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0:18" ht="15.75" customHeight="1"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0:18" ht="15.75" customHeight="1"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0:18" ht="15.75" customHeight="1"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0:18" ht="15.75" customHeight="1"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0:18" ht="15.75" customHeight="1"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0:18" ht="15.75" customHeight="1"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0:18" ht="15.75" customHeight="1"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0:18" ht="15.75" customHeight="1"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0:18" ht="15.75" customHeight="1"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0:18" ht="15.75" customHeight="1"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0:18" ht="15.75" customHeight="1"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0:18" ht="15.75" customHeight="1"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0:18" ht="15.75" customHeight="1"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0:18" ht="15.75" customHeight="1"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0:18" ht="15.75" customHeight="1"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0:18" ht="15.75" customHeight="1"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0:18" ht="15.75" customHeight="1"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0:18" ht="15.75" customHeight="1"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0:18" ht="15.75" customHeight="1"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0:18" ht="15.75" customHeight="1"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0:18" ht="15.75" customHeight="1"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0:18" ht="15.75" customHeight="1"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0:18" ht="15.75" customHeight="1"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0:18" ht="15.75" customHeight="1"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0:18" ht="15.75" customHeight="1"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0:18" ht="15.75" customHeight="1"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0:18" ht="15.75" customHeight="1"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0:18" ht="15.75" customHeight="1"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0:18" ht="15.75" customHeight="1"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0:18" ht="15.75" customHeight="1"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0:18" ht="15.75" customHeight="1"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0:18" ht="15.75" customHeight="1"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0:18" ht="15.75" customHeight="1"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0:18" ht="15.75" customHeight="1"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0:18" ht="15.75" customHeight="1"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0:18" ht="15.75" customHeight="1"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0:18" ht="15.75" customHeight="1"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0:18" ht="15.75" customHeight="1"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0:18" ht="15.75" customHeight="1"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0:18" ht="15.75" customHeight="1"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0:18" ht="15.75" customHeight="1"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0:18" ht="15.75" customHeight="1"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0:18" ht="15.75" customHeight="1"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0:18" ht="15.75" customHeight="1"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0:18" ht="15.75" customHeight="1"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0:18" ht="15.75" customHeight="1"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0:18" ht="15.75" customHeight="1"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0:18" ht="15.75" customHeight="1"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0:18" ht="15.75" customHeight="1"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0:18" ht="15.75" customHeight="1"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0:18" ht="15.75" customHeight="1"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0:18" ht="15.75" customHeight="1"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0:18" ht="15.75" customHeight="1"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0:18" ht="15.75" customHeight="1"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0:18" ht="15.75" customHeight="1"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0:18" ht="15.75" customHeight="1"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0:18" ht="15.75" customHeight="1"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0:18" ht="15.75" customHeight="1"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0:18" ht="15.75" customHeight="1"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0:18" ht="15.75" customHeight="1"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0:18" ht="15.75" customHeight="1"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0:18" ht="15.75" customHeight="1"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0:18" ht="15.75" customHeight="1"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0:18" ht="15.75" customHeight="1"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0:18" ht="15.75" customHeight="1"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0:18" ht="15.75" customHeight="1"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0:18" ht="15.75" customHeight="1"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0:18" ht="15.75" customHeight="1"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0:18" ht="15.75" customHeight="1"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0:18" ht="15.75" customHeight="1"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0:18" ht="15.75" customHeight="1"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0:18" ht="15.75" customHeight="1"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0:18" ht="15.75" customHeight="1"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0:18" ht="15.75" customHeight="1"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0:18" ht="15.75" customHeight="1"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0:18" ht="15.75" customHeight="1"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0:18" ht="15.75" customHeight="1"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0:18" ht="15.75" customHeight="1"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0:18" ht="15.75" customHeight="1"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0:18" ht="15.75" customHeight="1"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0:18" ht="15.75" customHeight="1"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0:18" ht="15.75" customHeight="1"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0:18" ht="15.75" customHeight="1"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0:18" ht="15.75" customHeight="1"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0:18" ht="15.75" customHeight="1"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0:18" ht="15.75" customHeight="1"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0:18" ht="15.75" customHeight="1"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0:18" ht="15.75" customHeight="1"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0:18" ht="15.75" customHeight="1"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0:18" ht="15.75" customHeight="1"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0:18" ht="15.75" customHeight="1"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0:18" ht="15.75" customHeight="1"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0:18" ht="15.75" customHeight="1"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0:18" ht="15.75" customHeight="1"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0:18" ht="15.75" customHeight="1"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0:18" ht="15.75" customHeight="1"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0:18" ht="15.75" customHeight="1"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0:18" ht="15.75" customHeight="1"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0:18" ht="15.75" customHeight="1"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0:18" ht="15.75" customHeight="1"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0:18" ht="15.75" customHeight="1"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0:18" ht="15.75" customHeight="1"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0:18" ht="15.75" customHeight="1"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0:18" ht="15.75" customHeight="1"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0:18" ht="15.75" customHeight="1"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0:18" ht="15.75" customHeight="1"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0:18" ht="15.75" customHeight="1"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0:18" ht="15.75" customHeight="1"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0:18" ht="15.75" customHeight="1"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0:18" ht="15.75" customHeight="1"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0:18" ht="15.75" customHeight="1"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0:18" ht="15.75" customHeight="1"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0:18" ht="15.75" customHeight="1"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0:18" ht="15.75" customHeight="1"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0:18" ht="15.75" customHeight="1"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0:18" ht="15.75" customHeight="1"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0:18" ht="15.75" customHeight="1"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0:18" ht="15.75" customHeight="1"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0:18" ht="15.75" customHeight="1"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0:18" ht="15.75" customHeight="1"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0:18" ht="15.75" customHeight="1"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0:18" ht="15.75" customHeight="1"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0:18" ht="15.75" customHeight="1"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0:18" ht="15.75" customHeight="1"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0:18" ht="15.75" customHeight="1"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0:18" ht="15.75" customHeight="1"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0:18" ht="15.75" customHeight="1"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0:18" ht="15.75" customHeight="1"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0:18" ht="15.75" customHeight="1"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0:18" ht="15.75" customHeight="1"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0:18" ht="15.75" customHeight="1"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0:18" ht="15.75" customHeight="1"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0:18" ht="15.75" customHeight="1"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0:18" ht="15.75" customHeight="1"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0:18" ht="15.75" customHeight="1"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0:18" ht="15.75" customHeight="1"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0:18" ht="15.75" customHeight="1"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0:18" ht="15.75" customHeight="1"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0:18" ht="15.75" customHeight="1"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0:18" ht="15.75" customHeight="1"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0:18" ht="15.75" customHeight="1"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0:18" ht="15.75" customHeight="1"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0:18" ht="15.75" customHeight="1"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0:18" ht="15.75" customHeight="1"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0:18" ht="15.75" customHeight="1"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0:18" ht="15.75" customHeight="1"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0:18" ht="15.75" customHeight="1"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0:18" ht="15.75" customHeight="1"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0:18" ht="15.75" customHeight="1"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0:18" ht="15.75" customHeight="1"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0:18" ht="15.75" customHeight="1"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0:18" ht="15.75" customHeight="1"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0:18" ht="15.75" customHeight="1"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0:18" ht="15.75" customHeight="1"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0:18" ht="15.75" customHeight="1"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0:18" ht="15.75" customHeight="1"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0:18" ht="15.75" customHeight="1"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0:18" ht="15.75" customHeight="1"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0:18" ht="15.75" customHeight="1"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0:18" ht="15.75" customHeight="1"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0:18" ht="15.75" customHeight="1"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0:18" ht="15.75" customHeight="1"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0:18" ht="15.75" customHeight="1"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0:18" ht="15.75" customHeight="1"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0:18" ht="15.75" customHeight="1"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0:18" ht="15.75" customHeight="1"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0:18" ht="15.75" customHeight="1"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0:18" ht="15.75" customHeight="1"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0:18" ht="15.75" customHeight="1"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0:18" ht="15.75" customHeight="1"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0:18" ht="15.75" customHeight="1"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0:18" ht="15.75" customHeight="1"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0:18" ht="15.75" customHeight="1"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0:18" ht="15.75" customHeight="1"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0:18" ht="15.75" customHeight="1"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0:18" ht="15.75" customHeight="1"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0:18" ht="15.75" customHeight="1"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0:18" ht="15.75" customHeight="1"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0:18" ht="15.75" customHeight="1"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0:18" ht="15.75" customHeight="1"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0:18" ht="15.75" customHeight="1"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0:18" ht="15.75" customHeight="1"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0:18" ht="15.75" customHeight="1"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0:18" ht="15.75" customHeight="1"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0:18" ht="15.75" customHeight="1"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0:18" ht="15.75" customHeight="1"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0:18" ht="15.75" customHeight="1"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0:18" ht="15.75" customHeight="1"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0:18" ht="15.75" customHeight="1"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0:18" ht="15.75" customHeight="1"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0:18" ht="15.75" customHeight="1"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0:18" ht="15.75" customHeight="1"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0:18" ht="15.75" customHeight="1"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0:18" ht="15.75" customHeight="1"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0:18" ht="15.75" customHeight="1"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0:18" ht="15.75" customHeight="1"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0:18" ht="15.75" customHeight="1"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0:18" ht="15.75" customHeight="1"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0:18" ht="15.75" customHeight="1"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0:18" ht="15.75" customHeight="1"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0:18" ht="15.75" customHeight="1"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0:18" ht="15.75" customHeight="1"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0:18" ht="15.75" customHeight="1"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0:18" ht="15.75" customHeight="1"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0:18" ht="15.75" customHeight="1"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0:18" ht="15.75" customHeight="1"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0:18" ht="15.75" customHeight="1"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0:18" ht="15.75" customHeight="1"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0:18" ht="15.75" customHeight="1"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0:18" ht="15.75" customHeight="1"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0:18" ht="15.75" customHeight="1"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0:18" ht="15.75" customHeight="1"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0:18" ht="15.75" customHeight="1"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0:18" ht="15.75" customHeight="1"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0:18" ht="15.75" customHeight="1"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0:18" ht="15.75" customHeight="1"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0:18" ht="15.75" customHeight="1"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0:18" ht="15.75" customHeight="1"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0:18" ht="15.75" customHeight="1"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0:18" ht="15.75" customHeight="1"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0:18" ht="15.75" customHeight="1"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0:18" ht="15.75" customHeight="1"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0:18" ht="15.75" customHeight="1"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0:18" ht="15.75" customHeight="1"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0:18" ht="15.75" customHeight="1"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0:18" ht="15.75" customHeight="1"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0:18" ht="15.75" customHeight="1"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0:18" ht="15.75" customHeight="1"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0:18" ht="15.75" customHeight="1"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0:18" ht="15.75" customHeight="1"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0:18" ht="15.75" customHeight="1"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0:18" ht="15.75" customHeight="1"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0:18" ht="15.75" customHeight="1"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0:18" ht="15.75" customHeight="1"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0:18" ht="15.75" customHeight="1"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0:18" ht="15.75" customHeight="1"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0:18" ht="15.75" customHeight="1"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0:18" ht="15.75" customHeight="1"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0:18" ht="15.75" customHeight="1"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0:18" ht="15.75" customHeight="1"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0:18" ht="15.75" customHeight="1"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0:18" ht="15.75" customHeight="1"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0:18" ht="15.75" customHeight="1"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0:18" ht="15.75" customHeight="1"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0:18" ht="15.75" customHeight="1"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0:18" ht="15.75" customHeight="1"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0:18" ht="15.75" customHeight="1"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0:18" ht="15.75" customHeight="1"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0:18" ht="15.75" customHeight="1"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0:18" ht="15.75" customHeight="1"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0:18" ht="15.75" customHeight="1"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0:18" ht="15.75" customHeight="1"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0:18" ht="15.75" customHeight="1"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0:18" ht="15.75" customHeight="1"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0:18" ht="15.75" customHeight="1"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0:18" ht="15.75" customHeight="1"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0:18" ht="15.75" customHeight="1"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0:18" ht="15.75" customHeight="1"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0:18" ht="15.75" customHeight="1"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0:18" ht="15.75" customHeight="1"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0:18" ht="15.75" customHeight="1"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0:18" ht="15.75" customHeight="1"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0:18" ht="15.75" customHeight="1"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0:18" ht="15.75" customHeight="1"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0:18" ht="15.75" customHeight="1"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0:18" ht="15.75" customHeight="1"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0:18" ht="15.75" customHeight="1"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0:18" ht="15.75" customHeight="1"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0:18" ht="15.75" customHeight="1"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0:18" ht="15.75" customHeight="1"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0:18" ht="15.75" customHeight="1"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0:18" ht="15.75" customHeight="1"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0:18" ht="15.75" customHeight="1"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0:18" ht="15.75" customHeight="1"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0:18" ht="15.75" customHeight="1"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0:18" ht="15.75" customHeight="1"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0:18" ht="15.75" customHeight="1"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0:18" ht="15.75" customHeight="1"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0:18" ht="15.75" customHeight="1"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0:18" ht="15.75" customHeight="1"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0:18" ht="15.75" customHeight="1"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0:18" ht="15.75" customHeight="1"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0:18" ht="15.75" customHeight="1"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0:18" ht="15.75" customHeight="1"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0:18" ht="15.75" customHeight="1"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0:18" ht="15.75" customHeight="1"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0:18" ht="15.75" customHeight="1"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0:18" ht="15.75" customHeight="1"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0:18" ht="15.75" customHeight="1"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0:18" ht="15.75" customHeight="1"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0:18" ht="15.75" customHeight="1"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0:18" ht="15.75" customHeight="1"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0:18" ht="15.75" customHeight="1"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0:18" ht="15.75" customHeight="1"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0:18" ht="15.75" customHeight="1"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0:18" ht="15.75" customHeight="1"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0:18" ht="15.75" customHeight="1"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0:18" ht="15.75" customHeight="1"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0:18" ht="15.75" customHeight="1"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0:18" ht="15.75" customHeight="1"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0:18" ht="15.75" customHeight="1"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0:18" ht="15.75" customHeight="1"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0:18" ht="15.75" customHeight="1"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0:18" ht="15.75" customHeight="1"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0:18" ht="15.75" customHeight="1"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0:18" ht="15.75" customHeight="1"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0:18" ht="15.75" customHeight="1"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0:18" ht="15.75" customHeight="1"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0:18" ht="15.75" customHeight="1"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0:18" ht="15.75" customHeight="1"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0:18" ht="15.75" customHeight="1"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0:18" ht="15.75" customHeight="1"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0:18" ht="15.75" customHeight="1"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0:18" ht="15.75" customHeight="1"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0:18" ht="15.75" customHeight="1"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0:18" ht="15.75" customHeight="1"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0:18" ht="15.75" customHeight="1"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0:18" ht="15.75" customHeight="1"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0:18" ht="15.75" customHeight="1"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0:18" ht="15.75" customHeight="1"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0:18" ht="15.75" customHeight="1"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0:18" ht="15.75" customHeight="1"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0:18" ht="15.75" customHeight="1"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0:18" ht="15.75" customHeight="1"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0:18" ht="15.75" customHeight="1"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0:18" ht="15.75" customHeight="1"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0:18" ht="15.75" customHeight="1"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0:18" ht="15.75" customHeight="1"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0:18" ht="15.75" customHeight="1"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0:18" ht="15.75" customHeight="1"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0:18" ht="15.75" customHeight="1"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0:18" ht="15.75" customHeight="1"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0:18" ht="15.75" customHeight="1"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0:18" ht="15.75" customHeight="1"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0:18" ht="15.75" customHeight="1"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0:18" ht="15.75" customHeight="1"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0:18" ht="15.75" customHeight="1"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0:18" ht="15.75" customHeight="1"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0:18" ht="15.75" customHeight="1"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0:18" ht="15.75" customHeight="1"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0:18" ht="15.75" customHeight="1"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0:18" ht="15.75" customHeight="1"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0:18" ht="15.75" customHeight="1"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0:18" ht="15.75" customHeight="1"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0:18" ht="15.75" customHeight="1"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0:18" ht="15.75" customHeight="1"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0:18" ht="15.75" customHeight="1"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0:18" ht="15.75" customHeight="1"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0:18" ht="15.75" customHeight="1"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0:18" ht="15.75" customHeight="1"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0:18" ht="15.75" customHeight="1"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0:18" ht="15.75" customHeight="1"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0:18" ht="15.75" customHeight="1"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0:18" ht="15.75" customHeight="1"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0:18" ht="15.75" customHeight="1"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0:18" ht="15.75" customHeight="1"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0:18" ht="15.75" customHeight="1"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0:18" ht="15.75" customHeight="1"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0:18" ht="15.75" customHeight="1"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0:18" ht="15.75" customHeight="1"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0:18" ht="15.75" customHeight="1"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0:18" ht="15.75" customHeight="1"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0:18" ht="15.75" customHeight="1"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0:18" ht="15.75" customHeight="1"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0:18" ht="15.75" customHeight="1"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0:18" ht="15.75" customHeight="1"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0:18" ht="15.75" customHeight="1"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0:18" ht="15.75" customHeight="1"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0:18" ht="15.75" customHeight="1"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0:18" ht="15.75" customHeight="1"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0:18" ht="15.75" customHeight="1"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0:18" ht="15.75" customHeight="1"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0:18" ht="15.75" customHeight="1"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0:18" ht="15.75" customHeight="1"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0:18" ht="15.75" customHeight="1"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0:18" ht="15.75" customHeight="1"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0:18" ht="15.75" customHeight="1"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0:18" ht="15.75" customHeight="1"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0:18" ht="15.75" customHeight="1"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0:18" ht="15.75" customHeight="1"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0:18" ht="15.75" customHeight="1"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0:18" ht="15.75" customHeight="1"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0:18" ht="15.75" customHeight="1"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0:18" ht="15.75" customHeight="1"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0:18" ht="15.75" customHeight="1"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0:18" ht="15.75" customHeight="1"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0:18" ht="15.75" customHeight="1"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0:18" ht="15.75" customHeight="1"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0:18" ht="15.75" customHeight="1"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0:18" ht="15.75" customHeight="1"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0:18" ht="15.75" customHeight="1"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0:18" ht="15.75" customHeight="1"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0:18" ht="15.75" customHeight="1"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0:18" ht="15.75" customHeight="1"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0:18" ht="15.75" customHeight="1"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0:18" ht="15.75" customHeight="1"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0:18" ht="15.75" customHeight="1"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0:18" ht="15.75" customHeight="1"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0:18" ht="15.75" customHeight="1"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0:18" ht="15.75" customHeight="1"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0:18" ht="15.75" customHeight="1"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0:18" ht="15.75" customHeight="1"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0:18" ht="15.75" customHeight="1"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0:18" ht="15.75" customHeight="1"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0:18" ht="15.75" customHeight="1"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0:18" ht="15.75" customHeight="1"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0:18" ht="15.75" customHeight="1"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0:18" ht="15.75" customHeight="1"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0:18" ht="15.75" customHeight="1"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0:18" ht="15.75" customHeight="1"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0:18" ht="15.75" customHeight="1"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0:18" ht="15.75" customHeight="1"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0:18" ht="15.75" customHeight="1"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0:18" ht="15.75" customHeight="1"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0:18" ht="15.75" customHeight="1"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0:18" ht="15.75" customHeight="1"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0:18" ht="15.75" customHeight="1"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0:18" ht="15.75" customHeight="1"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0:18" ht="15.75" customHeight="1"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0:18" ht="15.75" customHeight="1"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0:18" ht="15.75" customHeight="1"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0:18" ht="15.75" customHeight="1"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0:18" ht="15.75" customHeight="1"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0:18" ht="15.75" customHeight="1"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0:18" ht="15.75" customHeight="1"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0:18" ht="15.75" customHeight="1"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0:18" ht="15.75" customHeight="1"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0:18" ht="15.75" customHeight="1"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0:18" ht="15.75" customHeight="1"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0:18" ht="15.75" customHeight="1"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0:18" ht="15.75" customHeight="1"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0:18" ht="15.75" customHeight="1"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0:18" ht="15.75" customHeight="1"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0:18" ht="15.75" customHeight="1"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0:18" ht="15.75" customHeight="1"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0:18" ht="15.75" customHeight="1"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0:18" ht="15.75" customHeight="1"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0:18" ht="15.75" customHeight="1"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0:18" ht="15.75" customHeight="1"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0:18" ht="15.75" customHeight="1"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0:18" ht="15.75" customHeight="1"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0:18" ht="15.75" customHeight="1"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0:18" ht="15.75" customHeight="1"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0:18" ht="15.75" customHeight="1"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0:18" ht="15.75" customHeight="1"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0:18" ht="15.75" customHeight="1"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0:18" ht="15.75" customHeight="1"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0:18" ht="15.75" customHeight="1"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0:18" ht="15.75" customHeight="1"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0:18" ht="15.75" customHeight="1"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0:18" ht="15.75" customHeight="1"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0:18" ht="15.75" customHeight="1"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0:18" ht="15.75" customHeight="1"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0:18" ht="15.75" customHeight="1"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0:18" ht="15.75" customHeight="1"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0:18" ht="15.75" customHeight="1"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0:18" ht="15.75" customHeight="1"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0:18" ht="15.75" customHeight="1"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0:18" ht="15.75" customHeight="1"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0:18" ht="15.75" customHeight="1"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0:18" ht="15.75" customHeight="1"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0:18" ht="15.75" customHeight="1"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0:18" ht="15.75" customHeight="1"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0:18" ht="15.75" customHeight="1"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0:18" ht="15.75" customHeight="1"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0:18" ht="15.75" customHeight="1"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0:18" ht="15.75" customHeight="1"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0:18" ht="15.75" customHeight="1"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0:18" ht="15.75" customHeight="1"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0:18" ht="15.75" customHeight="1"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0:18" ht="15.75" customHeight="1"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0:18" ht="15.75" customHeight="1"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0:18" ht="15.75" customHeight="1"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0:18" ht="15.75" customHeight="1"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0:18" ht="15.75" customHeight="1"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0:18" ht="15.75" customHeight="1"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0:18" ht="15.75" customHeight="1"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0:18" ht="15.75" customHeight="1"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0:18" ht="15.75" customHeight="1"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0:18" ht="15.75" customHeight="1"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0:18" ht="15.75" customHeight="1"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0:18" ht="15.75" customHeight="1"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0:18" ht="15.75" customHeight="1"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0:18" ht="15.75" customHeight="1"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0:18" ht="15.75" customHeight="1"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0:18" ht="15.75" customHeight="1"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0:18" ht="15.75" customHeight="1"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0:18" ht="15.75" customHeight="1"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0:18" ht="15.75" customHeight="1"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0:18" ht="15.75" customHeight="1"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0:18" ht="15.75" customHeight="1"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0:18" ht="15.75" customHeight="1"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0:18" ht="15.75" customHeight="1"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0:18" ht="15.75" customHeight="1"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0:18" ht="15.75" customHeight="1"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0:18" ht="15.75" customHeight="1"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0:18" ht="15.75" customHeight="1"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0:18" ht="15.75" customHeight="1"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0:18" ht="15.75" customHeight="1"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0:18" ht="15.75" customHeight="1"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0:18" ht="15.75" customHeight="1"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0:18" ht="15.75" customHeight="1"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0:18" ht="15.75" customHeight="1"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0:18" ht="15.75" customHeight="1"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0:18" ht="15.75" customHeight="1"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0:18" ht="15.75" customHeight="1"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0:18" ht="15.75" customHeight="1"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0:18" ht="15.75" customHeight="1"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0:18" ht="15.75" customHeight="1"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0:18" ht="15.75" customHeight="1"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0:18" ht="15.75" customHeight="1"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0:18" ht="15.75" customHeight="1"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0:18" ht="15.75" customHeight="1"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0:18" ht="15.75" customHeight="1"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0:18" ht="15.75" customHeight="1"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0:18" ht="15.75" customHeight="1"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0:18" ht="15.75" customHeight="1"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0:18" ht="15.75" customHeight="1"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0:18" ht="15.75" customHeight="1"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0:18" ht="15.75" customHeight="1"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0:18" ht="15.75" customHeight="1"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0:18" ht="15.75" customHeight="1"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0:18" ht="15.75" customHeight="1"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0:18" ht="15.75" customHeight="1"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0:18" ht="15.75" customHeight="1"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0:18" ht="15.75" customHeight="1"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0:18" ht="15.75" customHeight="1"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0:18" ht="15.75" customHeight="1"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0:18" ht="15.75" customHeight="1"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0:18" ht="15.75" customHeight="1"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0:18" ht="15.75" customHeight="1"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0:18" ht="15.75" customHeight="1"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0:18" ht="15.75" customHeight="1"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0:18" ht="15.75" customHeight="1"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0:18" ht="15.75" customHeight="1"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0:18" ht="15.75" customHeight="1"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0:18" ht="15.75" customHeight="1"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0:18" ht="15.75" customHeight="1"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0:18" ht="15.75" customHeight="1"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0:18" ht="15.75" customHeight="1"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0:18" ht="15.75" customHeight="1"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0:18" ht="15.75" customHeight="1"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0:18" ht="15.75" customHeight="1"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0:18" ht="15.75" customHeight="1"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0:18" ht="15.75" customHeight="1"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0:18" ht="15.75" customHeight="1"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0:18" ht="15.75" customHeight="1"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0:18" ht="15.75" customHeight="1"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0:18" ht="15.75" customHeight="1"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0:18" ht="15.75" customHeight="1"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0:18" ht="15.75" customHeight="1"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0:18" ht="15.75" customHeight="1"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0:18" ht="15.75" customHeight="1"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0:18" ht="15.75" customHeight="1"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0:18" ht="15.75" customHeight="1"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0:18" ht="15.75" customHeight="1"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0:18" ht="15.75" customHeight="1"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0:18" ht="15.75" customHeight="1"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0:18" ht="15.75" customHeight="1"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0:18" ht="15.75" customHeight="1"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0:18" ht="15.75" customHeight="1"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0:18" ht="15.75" customHeight="1"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0:18" ht="15.75" customHeight="1"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0:18" ht="15.75" customHeight="1"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0:18" ht="15.75" customHeight="1"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0:18" ht="15.75" customHeight="1"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0:18" ht="15.75" customHeight="1"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0:18" ht="15.75" customHeight="1"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0:18" ht="15.75" customHeight="1"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0:18" ht="15.75" customHeight="1"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0:18" ht="15.75" customHeight="1"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0:18" ht="15.75" customHeight="1"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0:18" ht="15.75" customHeight="1"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0:18" ht="15.75" customHeight="1"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0:18" ht="15.75" customHeight="1"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0:18" ht="15.75" customHeight="1"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0:18" ht="15.75" customHeight="1"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0:18" ht="15.75" customHeight="1"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0:18" ht="15.75" customHeight="1"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0:18" ht="15.75" customHeight="1"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0:18" ht="15.75" customHeight="1"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0:18" ht="15.75" customHeight="1"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0:18" ht="15.75" customHeight="1"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0:18" ht="15.75" customHeight="1"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0:18" ht="15.75" customHeight="1"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0:18" ht="15.75" customHeight="1"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0:18" ht="15.75" customHeight="1"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0:18" ht="15.75" customHeight="1"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0:18" ht="15.75" customHeight="1"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0:18" ht="15.75" customHeight="1"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0:18" ht="15.75" customHeight="1"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0:18" ht="15.75" customHeight="1"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0:18" ht="15.75" customHeight="1"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0:18" ht="15.75" customHeight="1"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0:18" ht="15.75" customHeight="1"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0:18" ht="15.75" customHeight="1"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0:18" ht="15.75" customHeight="1"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0:18" ht="15.75" customHeight="1"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0:18" ht="15.75" customHeight="1"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0:18" ht="15.75" customHeight="1"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0:18" ht="15.75" customHeight="1"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0:18" ht="15.75" customHeight="1"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0:18" ht="15.75" customHeight="1"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0:18" ht="15.75" customHeight="1"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0:18" ht="15.75" customHeight="1"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0:18" ht="15.75" customHeight="1"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0:18" ht="15.75" customHeight="1"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0:18" ht="15.75" customHeight="1"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0:18" ht="15.75" customHeight="1"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0:18" ht="15.75" customHeight="1"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0:18" ht="15.75" customHeight="1"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0:18" ht="15.75" customHeight="1"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0:18" ht="15.75" customHeight="1"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0:18" ht="15.75" customHeight="1"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0:18" ht="15.75" customHeight="1"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0:18" ht="15.75" customHeight="1"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0:18" ht="15.75" customHeight="1"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0:18" ht="15.75" customHeight="1"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0:18" ht="15.75" customHeight="1"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0:18" ht="15.75" customHeight="1"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0:18" ht="15.75" customHeight="1">
      <c r="J993" s="40"/>
      <c r="K993" s="40"/>
      <c r="L993" s="40"/>
      <c r="M993" s="40"/>
      <c r="N993" s="40"/>
      <c r="O993" s="40"/>
      <c r="P993" s="40"/>
      <c r="Q993" s="40"/>
      <c r="R993" s="40"/>
    </row>
    <row r="994" spans="10:18" ht="15.75" customHeight="1">
      <c r="J994" s="40"/>
      <c r="K994" s="40"/>
      <c r="L994" s="40"/>
      <c r="M994" s="40"/>
      <c r="N994" s="40"/>
      <c r="O994" s="40"/>
      <c r="P994" s="40"/>
      <c r="Q994" s="40"/>
      <c r="R994" s="40"/>
    </row>
    <row r="995" spans="10:18" ht="15.75" customHeight="1">
      <c r="J995" s="40"/>
      <c r="K995" s="40"/>
      <c r="L995" s="40"/>
      <c r="M995" s="40"/>
      <c r="N995" s="40"/>
      <c r="O995" s="40"/>
      <c r="P995" s="40"/>
      <c r="Q995" s="40"/>
      <c r="R995" s="40"/>
    </row>
    <row r="996" spans="10:18" ht="15.75" customHeight="1">
      <c r="J996" s="40"/>
      <c r="K996" s="40"/>
      <c r="L996" s="40"/>
      <c r="M996" s="40"/>
      <c r="N996" s="40"/>
      <c r="O996" s="40"/>
      <c r="P996" s="40"/>
      <c r="Q996" s="40"/>
      <c r="R996" s="40"/>
    </row>
    <row r="997" spans="10:18" ht="15.75" customHeight="1">
      <c r="J997" s="40"/>
      <c r="K997" s="40"/>
      <c r="L997" s="40"/>
      <c r="M997" s="40"/>
      <c r="N997" s="40"/>
      <c r="O997" s="40"/>
      <c r="P997" s="40"/>
      <c r="Q997" s="40"/>
      <c r="R997" s="40"/>
    </row>
    <row r="998" spans="10:18" ht="15.75" customHeight="1">
      <c r="J998" s="40"/>
      <c r="K998" s="40"/>
      <c r="L998" s="40"/>
      <c r="M998" s="40"/>
      <c r="N998" s="40"/>
      <c r="O998" s="40"/>
      <c r="P998" s="40"/>
      <c r="Q998" s="40"/>
      <c r="R998" s="40"/>
    </row>
    <row r="999" spans="10:18" ht="15.75" customHeight="1">
      <c r="J999" s="40"/>
      <c r="K999" s="40"/>
      <c r="L999" s="40"/>
      <c r="M999" s="40"/>
      <c r="N999" s="40"/>
      <c r="O999" s="40"/>
      <c r="P999" s="40"/>
      <c r="Q999" s="40"/>
      <c r="R999" s="40"/>
    </row>
    <row r="1000" spans="10:18" ht="15.75" customHeight="1">
      <c r="J1000" s="40"/>
      <c r="K1000" s="40"/>
      <c r="L1000" s="40"/>
      <c r="M1000" s="40"/>
      <c r="N1000" s="40"/>
      <c r="O1000" s="40"/>
      <c r="P1000" s="40"/>
      <c r="Q1000" s="40"/>
      <c r="R1000" s="40"/>
    </row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Z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35.125" customWidth="1"/>
    <col min="5" max="7" width="8.625" customWidth="1"/>
    <col min="8" max="9" width="2.125" customWidth="1"/>
    <col min="10" max="10" width="11.875" customWidth="1"/>
    <col min="11" max="18" width="11.75" customWidth="1"/>
    <col min="19" max="20" width="9.75" customWidth="1"/>
    <col min="21" max="26" width="8.625" customWidth="1"/>
  </cols>
  <sheetData>
    <row r="1" spans="1:26" ht="7.5" customHeight="1">
      <c r="J1" s="40"/>
      <c r="K1" s="40"/>
      <c r="L1" s="40"/>
      <c r="M1" s="40"/>
      <c r="N1" s="40"/>
      <c r="O1" s="40"/>
      <c r="P1" s="40"/>
      <c r="Q1" s="40"/>
      <c r="R1" s="40"/>
    </row>
    <row r="2" spans="1:26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41"/>
      <c r="K2" s="41"/>
      <c r="L2" s="41"/>
      <c r="M2" s="41"/>
      <c r="N2" s="41"/>
      <c r="O2" s="41"/>
      <c r="P2" s="41"/>
      <c r="Q2" s="41"/>
      <c r="R2" s="41"/>
      <c r="S2" s="1"/>
    </row>
    <row r="3" spans="1:26" ht="18">
      <c r="A3" s="1"/>
      <c r="B3" s="1"/>
      <c r="C3" s="3" t="s">
        <v>214</v>
      </c>
      <c r="D3" s="1"/>
      <c r="E3" s="1"/>
      <c r="F3" s="1"/>
      <c r="G3" s="1"/>
      <c r="H3" s="1"/>
      <c r="I3" s="1"/>
      <c r="J3" s="41"/>
      <c r="K3" s="41"/>
      <c r="L3" s="41"/>
      <c r="M3" s="41"/>
      <c r="N3" s="41"/>
      <c r="O3" s="41"/>
      <c r="P3" s="41"/>
      <c r="Q3" s="41"/>
      <c r="R3" s="41"/>
      <c r="S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41"/>
      <c r="K4" s="41"/>
      <c r="L4" s="41"/>
      <c r="M4" s="41"/>
      <c r="N4" s="41"/>
      <c r="O4" s="41"/>
      <c r="P4" s="41"/>
      <c r="Q4" s="41"/>
      <c r="R4" s="41"/>
      <c r="S4" s="1"/>
    </row>
    <row r="5" spans="1:26">
      <c r="D5" s="42" t="str">
        <f>"Balance sheet check: " &amp;BSCheck</f>
        <v>Balance sheet check: OK</v>
      </c>
      <c r="I5" s="43" t="s">
        <v>56</v>
      </c>
      <c r="J5" s="44"/>
      <c r="K5" s="44">
        <f t="shared" ref="K5:R5" si="0">J6+1</f>
        <v>44562</v>
      </c>
      <c r="L5" s="44">
        <f t="shared" si="0"/>
        <v>44927</v>
      </c>
      <c r="M5" s="44">
        <f t="shared" si="0"/>
        <v>45292</v>
      </c>
      <c r="N5" s="44">
        <f t="shared" si="0"/>
        <v>45658</v>
      </c>
      <c r="O5" s="44">
        <f t="shared" si="0"/>
        <v>46023</v>
      </c>
      <c r="P5" s="44">
        <f t="shared" si="0"/>
        <v>46388</v>
      </c>
      <c r="Q5" s="44">
        <f t="shared" si="0"/>
        <v>46753</v>
      </c>
      <c r="R5" s="44">
        <f t="shared" si="0"/>
        <v>47119</v>
      </c>
      <c r="S5" s="9"/>
      <c r="T5" s="9"/>
    </row>
    <row r="6" spans="1:26">
      <c r="D6" s="42" t="str">
        <f t="array" ref="D6">livescenario</f>
        <v>Live Scenario: Base case</v>
      </c>
      <c r="I6" s="43" t="s">
        <v>57</v>
      </c>
      <c r="J6" s="45">
        <f>Guide!E14-1</f>
        <v>44561</v>
      </c>
      <c r="K6" s="44">
        <f t="shared" ref="K6:R6" si="1">EOMONTH(K5,11)</f>
        <v>44926</v>
      </c>
      <c r="L6" s="44">
        <f t="shared" si="1"/>
        <v>45291</v>
      </c>
      <c r="M6" s="44">
        <f t="shared" si="1"/>
        <v>45657</v>
      </c>
      <c r="N6" s="44">
        <f t="shared" si="1"/>
        <v>46022</v>
      </c>
      <c r="O6" s="44">
        <f t="shared" si="1"/>
        <v>46387</v>
      </c>
      <c r="P6" s="44">
        <f t="shared" si="1"/>
        <v>46752</v>
      </c>
      <c r="Q6" s="44">
        <f t="shared" si="1"/>
        <v>47118</v>
      </c>
      <c r="R6" s="44">
        <f t="shared" si="1"/>
        <v>47483</v>
      </c>
      <c r="S6" s="9"/>
      <c r="T6" s="9"/>
    </row>
    <row r="7" spans="1:26" ht="6" customHeight="1">
      <c r="J7" s="40"/>
      <c r="K7" s="40"/>
      <c r="L7" s="40"/>
      <c r="M7" s="40"/>
      <c r="N7" s="40"/>
      <c r="O7" s="40"/>
      <c r="P7" s="40"/>
      <c r="Q7" s="40"/>
      <c r="R7" s="40"/>
    </row>
    <row r="8" spans="1:26" ht="14.25">
      <c r="A8" s="18"/>
      <c r="B8" s="18"/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18"/>
      <c r="I8" s="18"/>
      <c r="J8" s="46"/>
      <c r="K8" s="46" t="s">
        <v>62</v>
      </c>
      <c r="L8" s="46" t="s">
        <v>62</v>
      </c>
      <c r="M8" s="46" t="s">
        <v>62</v>
      </c>
      <c r="N8" s="46" t="s">
        <v>62</v>
      </c>
      <c r="O8" s="46" t="s">
        <v>63</v>
      </c>
      <c r="P8" s="46" t="s">
        <v>63</v>
      </c>
      <c r="Q8" s="46" t="s">
        <v>63</v>
      </c>
      <c r="R8" s="46" t="s">
        <v>63</v>
      </c>
      <c r="S8" s="18"/>
      <c r="T8" s="18"/>
      <c r="U8" s="18"/>
      <c r="V8" s="18"/>
      <c r="W8" s="18"/>
      <c r="X8" s="18"/>
      <c r="Y8" s="18"/>
      <c r="Z8" s="18"/>
    </row>
    <row r="9" spans="1:26" ht="14.25">
      <c r="J9" s="40"/>
      <c r="K9" s="40"/>
      <c r="L9" s="40"/>
      <c r="M9" s="40"/>
      <c r="N9" s="40"/>
      <c r="O9" s="40"/>
      <c r="P9" s="40"/>
      <c r="Q9" s="40"/>
      <c r="R9" s="40"/>
    </row>
    <row r="10" spans="1:26" ht="19.5">
      <c r="B10" s="20" t="s">
        <v>215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26">
      <c r="C11" s="76" t="s">
        <v>216</v>
      </c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</row>
    <row r="12" spans="1:26" ht="15" customHeight="1">
      <c r="A12" s="19"/>
      <c r="B12" s="19"/>
      <c r="C12" s="19"/>
      <c r="D12" s="19" t="str">
        <f t="array" ref="D12">"Live Scenario: "&amp;INDEX(scenariolist,scenarioswitch)</f>
        <v>Live Scenario: Base case</v>
      </c>
      <c r="E12" s="19"/>
      <c r="F12" s="19"/>
      <c r="G12" s="19"/>
      <c r="H12" s="19"/>
      <c r="I12" s="19"/>
      <c r="J12" s="54"/>
      <c r="K12" s="54"/>
      <c r="L12" s="54"/>
      <c r="M12" s="54"/>
      <c r="N12" s="54"/>
      <c r="O12" s="54"/>
      <c r="P12" s="54"/>
      <c r="Q12" s="54"/>
      <c r="R12" s="54"/>
      <c r="S12" s="19"/>
      <c r="T12" s="19"/>
      <c r="U12" s="19"/>
      <c r="V12" s="19"/>
      <c r="W12" s="19"/>
      <c r="X12" s="19"/>
      <c r="Y12" s="19"/>
      <c r="Z12" s="19"/>
    </row>
    <row r="13" spans="1:26" ht="15" customHeight="1">
      <c r="D13" s="77" t="s">
        <v>217</v>
      </c>
      <c r="F13" s="7">
        <v>1</v>
      </c>
      <c r="J13" s="40"/>
      <c r="K13" s="40"/>
      <c r="L13" s="40"/>
      <c r="M13" s="40"/>
      <c r="N13" s="40"/>
      <c r="O13" s="40"/>
      <c r="P13" s="40"/>
      <c r="Q13" s="40"/>
      <c r="R13" s="40"/>
    </row>
    <row r="14" spans="1:26" ht="15" customHeight="1">
      <c r="D14" s="77" t="s">
        <v>218</v>
      </c>
      <c r="J14" s="40"/>
      <c r="K14" s="40"/>
      <c r="L14" s="40"/>
      <c r="M14" s="40"/>
      <c r="N14" s="40"/>
      <c r="O14" s="40"/>
      <c r="P14" s="40"/>
      <c r="Q14" s="40"/>
      <c r="R14" s="40"/>
    </row>
    <row r="15" spans="1:26" ht="15" customHeight="1">
      <c r="D15" s="77" t="s">
        <v>219</v>
      </c>
      <c r="J15" s="40"/>
      <c r="K15" s="40"/>
      <c r="L15" s="40"/>
      <c r="M15" s="40"/>
      <c r="N15" s="40"/>
      <c r="O15" s="40"/>
      <c r="P15" s="40"/>
      <c r="Q15" s="40"/>
      <c r="R15" s="40"/>
    </row>
    <row r="16" spans="1:26" ht="14.25">
      <c r="J16" s="40"/>
      <c r="K16" s="40"/>
      <c r="L16" s="40"/>
      <c r="M16" s="40"/>
      <c r="N16" s="40"/>
      <c r="O16" s="40"/>
      <c r="P16" s="40"/>
      <c r="Q16" s="40"/>
      <c r="R16" s="40"/>
    </row>
    <row r="17" spans="1:26">
      <c r="C17" s="76" t="s">
        <v>220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</row>
    <row r="18" spans="1:26" ht="15" customHeight="1">
      <c r="A18" s="19"/>
      <c r="B18" s="19"/>
      <c r="C18" s="19"/>
      <c r="D18" s="19" t="s">
        <v>221</v>
      </c>
      <c r="E18" s="19" t="s">
        <v>171</v>
      </c>
      <c r="F18" s="19"/>
      <c r="G18" s="19"/>
      <c r="H18" s="19"/>
      <c r="I18" s="19"/>
      <c r="J18" s="54"/>
      <c r="K18" s="54"/>
      <c r="L18" s="54"/>
      <c r="M18" s="54"/>
      <c r="N18" s="54"/>
      <c r="O18" s="78">
        <f t="array" ref="O18">INDEX(O19:O21, scenarioswitch)</f>
        <v>0.43557963412972317</v>
      </c>
      <c r="P18" s="78">
        <f t="array" ref="P18">INDEX(P19:P21, scenarioswitch)</f>
        <v>0.37</v>
      </c>
      <c r="Q18" s="78">
        <f t="array" ref="Q18">INDEX(Q19:Q21, scenarioswitch)</f>
        <v>0.31</v>
      </c>
      <c r="R18" s="78">
        <f t="array" ref="R18">INDEX(R19:R21, scenarioswitch)</f>
        <v>0.25</v>
      </c>
      <c r="S18" s="19"/>
      <c r="T18" s="19"/>
      <c r="U18" s="19"/>
      <c r="V18" s="19"/>
      <c r="W18" s="19"/>
      <c r="X18" s="19"/>
      <c r="Y18" s="19"/>
      <c r="Z18" s="19"/>
    </row>
    <row r="19" spans="1:26" ht="15" customHeight="1">
      <c r="D19" s="77" t="str">
        <f>D13</f>
        <v>Base case</v>
      </c>
      <c r="E19" s="25" t="s">
        <v>171</v>
      </c>
      <c r="J19" s="40"/>
      <c r="K19" s="40"/>
      <c r="L19" s="40"/>
      <c r="M19" s="40"/>
      <c r="N19" s="40"/>
      <c r="O19" s="69">
        <v>0.43557963412972317</v>
      </c>
      <c r="P19" s="69">
        <v>0.37</v>
      </c>
      <c r="Q19" s="69">
        <v>0.31</v>
      </c>
      <c r="R19" s="69">
        <v>0.25</v>
      </c>
    </row>
    <row r="20" spans="1:26" ht="15" customHeight="1">
      <c r="D20" s="77" t="str">
        <f>D14</f>
        <v>Best case</v>
      </c>
      <c r="E20" s="25" t="s">
        <v>171</v>
      </c>
      <c r="J20" s="40"/>
      <c r="K20" s="40"/>
      <c r="L20" s="40"/>
      <c r="M20" s="40"/>
      <c r="N20" s="40"/>
      <c r="O20" s="69">
        <f>O19+5%</f>
        <v>0.48557963412972316</v>
      </c>
      <c r="P20" s="69">
        <f>P19+5%</f>
        <v>0.42</v>
      </c>
      <c r="Q20" s="69">
        <f>Q19+5%</f>
        <v>0.36</v>
      </c>
      <c r="R20" s="69">
        <f>R19+5%</f>
        <v>0.3</v>
      </c>
    </row>
    <row r="21" spans="1:26" ht="15.75" customHeight="1">
      <c r="D21" s="77" t="str">
        <f>D15</f>
        <v>Worst case</v>
      </c>
      <c r="E21" s="25" t="s">
        <v>171</v>
      </c>
      <c r="J21" s="40"/>
      <c r="K21" s="40"/>
      <c r="L21" s="40"/>
      <c r="M21" s="40"/>
      <c r="N21" s="40"/>
      <c r="O21" s="69">
        <f>O19-5%</f>
        <v>0.38557963412972318</v>
      </c>
      <c r="P21" s="69">
        <f>P19-5%</f>
        <v>0.32</v>
      </c>
      <c r="Q21" s="69">
        <f>Q19-5%</f>
        <v>0.26</v>
      </c>
      <c r="R21" s="69">
        <f>R19-5%</f>
        <v>0.2</v>
      </c>
    </row>
    <row r="22" spans="1:26" ht="15.75" customHeight="1">
      <c r="J22" s="40"/>
      <c r="K22" s="40"/>
      <c r="L22" s="40"/>
      <c r="M22" s="40"/>
      <c r="N22" s="40"/>
      <c r="O22" s="40"/>
      <c r="P22" s="40"/>
      <c r="Q22" s="40"/>
      <c r="R22" s="40"/>
    </row>
    <row r="23" spans="1:26" ht="15.75" customHeight="1">
      <c r="C23" s="76" t="s">
        <v>222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</row>
    <row r="24" spans="1:26" ht="15" customHeight="1">
      <c r="A24" s="19"/>
      <c r="B24" s="19"/>
      <c r="C24" s="19"/>
      <c r="D24" s="19" t="s">
        <v>221</v>
      </c>
      <c r="E24" s="19" t="s">
        <v>171</v>
      </c>
      <c r="F24" s="19"/>
      <c r="G24" s="19"/>
      <c r="H24" s="19"/>
      <c r="I24" s="19"/>
      <c r="J24" s="54"/>
      <c r="K24" s="54"/>
      <c r="L24" s="54"/>
      <c r="M24" s="54"/>
      <c r="N24" s="54"/>
      <c r="O24" s="78">
        <f t="array" ref="O24">INDEX(O25:O27, scenarioswitch)</f>
        <v>0.55408543373988151</v>
      </c>
      <c r="P24" s="78">
        <f t="array" ref="P24">INDEX(P25:P27, scenarioswitch)</f>
        <v>0.55408543373988151</v>
      </c>
      <c r="Q24" s="78">
        <f t="array" ref="Q24">INDEX(Q25:Q27, scenarioswitch)</f>
        <v>0.55408543373988151</v>
      </c>
      <c r="R24" s="78">
        <f t="array" ref="R24">INDEX(R25:R27, scenarioswitch)</f>
        <v>0.55408543373988151</v>
      </c>
      <c r="S24" s="19"/>
      <c r="T24" s="19"/>
      <c r="U24" s="19"/>
      <c r="V24" s="19"/>
      <c r="W24" s="19"/>
      <c r="X24" s="19"/>
      <c r="Y24" s="19"/>
      <c r="Z24" s="19"/>
    </row>
    <row r="25" spans="1:26" ht="15" customHeight="1">
      <c r="D25" s="77" t="str">
        <f>D19</f>
        <v>Base case</v>
      </c>
      <c r="E25" s="25" t="s">
        <v>171</v>
      </c>
      <c r="J25" s="40"/>
      <c r="K25" s="40"/>
      <c r="L25" s="40"/>
      <c r="M25" s="40"/>
      <c r="N25" s="40"/>
      <c r="O25" s="69">
        <v>0.55408543373988151</v>
      </c>
      <c r="P25" s="69">
        <v>0.55408543373988151</v>
      </c>
      <c r="Q25" s="69">
        <v>0.55408543373988151</v>
      </c>
      <c r="R25" s="69">
        <v>0.55408543373988151</v>
      </c>
    </row>
    <row r="26" spans="1:26" ht="15" customHeight="1">
      <c r="D26" s="77" t="str">
        <f>D20</f>
        <v>Best case</v>
      </c>
      <c r="E26" s="25" t="s">
        <v>171</v>
      </c>
      <c r="J26" s="40"/>
      <c r="K26" s="40"/>
      <c r="L26" s="40"/>
      <c r="M26" s="40"/>
      <c r="N26" s="40"/>
      <c r="O26" s="69">
        <f>O25-5%</f>
        <v>0.50408543373988146</v>
      </c>
      <c r="P26" s="69">
        <f>P25-5%</f>
        <v>0.50408543373988146</v>
      </c>
      <c r="Q26" s="69">
        <f>Q25-5%</f>
        <v>0.50408543373988146</v>
      </c>
      <c r="R26" s="69">
        <f>R25-5%</f>
        <v>0.50408543373988146</v>
      </c>
      <c r="S26" s="40"/>
    </row>
    <row r="27" spans="1:26" ht="15.75" customHeight="1">
      <c r="D27" s="77" t="str">
        <f>D21</f>
        <v>Worst case</v>
      </c>
      <c r="E27" s="25" t="s">
        <v>171</v>
      </c>
      <c r="J27" s="40"/>
      <c r="K27" s="40"/>
      <c r="L27" s="40"/>
      <c r="M27" s="40"/>
      <c r="N27" s="40"/>
      <c r="O27" s="69">
        <f>O25+5%</f>
        <v>0.60408543373988155</v>
      </c>
      <c r="P27" s="69">
        <f>P25+5%</f>
        <v>0.60408543373988155</v>
      </c>
      <c r="Q27" s="69">
        <f>Q25+5%</f>
        <v>0.60408543373988155</v>
      </c>
      <c r="R27" s="69">
        <f>R25+5%</f>
        <v>0.60408543373988155</v>
      </c>
      <c r="S27" s="40"/>
    </row>
    <row r="28" spans="1:26" ht="15.75" customHeight="1">
      <c r="J28" s="40"/>
      <c r="K28" s="40"/>
      <c r="L28" s="40"/>
      <c r="M28" s="40"/>
      <c r="N28" s="40"/>
      <c r="O28" s="40"/>
      <c r="P28" s="40"/>
      <c r="Q28" s="40"/>
      <c r="R28" s="40"/>
    </row>
    <row r="29" spans="1:26" ht="15.75" customHeight="1">
      <c r="C29" s="76" t="s">
        <v>223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1:26" ht="15" customHeight="1">
      <c r="A30" s="19"/>
      <c r="B30" s="19"/>
      <c r="C30" s="19"/>
      <c r="D30" s="19" t="s">
        <v>221</v>
      </c>
      <c r="E30" s="19" t="s">
        <v>171</v>
      </c>
      <c r="F30" s="19"/>
      <c r="G30" s="19"/>
      <c r="H30" s="19"/>
      <c r="I30" s="19"/>
      <c r="J30" s="54"/>
      <c r="K30" s="54"/>
      <c r="L30" s="54"/>
      <c r="M30" s="54"/>
      <c r="N30" s="54"/>
      <c r="O30" s="78">
        <f t="array" ref="O30">INDEX(O31:O33, scenarioswitch)</f>
        <v>9.3963190355814949E-2</v>
      </c>
      <c r="P30" s="78">
        <f t="array" ref="P30">INDEX(P31:P33, scenarioswitch)</f>
        <v>9.3963190355814949E-2</v>
      </c>
      <c r="Q30" s="78">
        <f t="array" ref="Q30">INDEX(Q31:Q33, scenarioswitch)</f>
        <v>9.3963190355814949E-2</v>
      </c>
      <c r="R30" s="78">
        <f t="array" ref="R30">INDEX(R31:R33, scenarioswitch)</f>
        <v>9.3963190355814949E-2</v>
      </c>
      <c r="S30" s="19"/>
      <c r="T30" s="19"/>
      <c r="U30" s="19"/>
      <c r="V30" s="19"/>
      <c r="W30" s="19"/>
      <c r="X30" s="19"/>
      <c r="Y30" s="19"/>
      <c r="Z30" s="19"/>
    </row>
    <row r="31" spans="1:26" ht="15" customHeight="1">
      <c r="D31" s="77" t="str">
        <f>D25</f>
        <v>Base case</v>
      </c>
      <c r="E31" s="25" t="s">
        <v>171</v>
      </c>
      <c r="J31" s="40"/>
      <c r="K31" s="40"/>
      <c r="L31" s="40"/>
      <c r="M31" s="40"/>
      <c r="N31" s="40"/>
      <c r="O31" s="69">
        <v>9.3963190355814949E-2</v>
      </c>
      <c r="P31" s="69">
        <v>9.3963190355814949E-2</v>
      </c>
      <c r="Q31" s="69">
        <v>9.3963190355814949E-2</v>
      </c>
      <c r="R31" s="69">
        <v>9.3963190355814949E-2</v>
      </c>
    </row>
    <row r="32" spans="1:26" ht="15" customHeight="1">
      <c r="D32" s="77" t="str">
        <f>D26</f>
        <v>Best case</v>
      </c>
      <c r="E32" s="25" t="s">
        <v>171</v>
      </c>
      <c r="J32" s="40"/>
      <c r="K32" s="40"/>
      <c r="L32" s="40"/>
      <c r="M32" s="40"/>
      <c r="N32" s="40"/>
      <c r="O32" s="69">
        <f>O31-2%</f>
        <v>7.3963190355814945E-2</v>
      </c>
      <c r="P32" s="69">
        <f>P31-2%</f>
        <v>7.3963190355814945E-2</v>
      </c>
      <c r="Q32" s="69">
        <f>Q31-2%</f>
        <v>7.3963190355814945E-2</v>
      </c>
      <c r="R32" s="69">
        <f>R31-2%</f>
        <v>7.3963190355814945E-2</v>
      </c>
    </row>
    <row r="33" spans="1:26" ht="15.75" customHeight="1">
      <c r="D33" s="77" t="str">
        <f>D27</f>
        <v>Worst case</v>
      </c>
      <c r="E33" s="25" t="s">
        <v>171</v>
      </c>
      <c r="J33" s="40"/>
      <c r="K33" s="40"/>
      <c r="L33" s="40"/>
      <c r="M33" s="40"/>
      <c r="N33" s="40"/>
      <c r="O33" s="69">
        <f>O31+2%</f>
        <v>0.11396319035581495</v>
      </c>
      <c r="P33" s="69">
        <f>P31+2%</f>
        <v>0.11396319035581495</v>
      </c>
      <c r="Q33" s="69">
        <f>Q31+2%</f>
        <v>0.11396319035581495</v>
      </c>
      <c r="R33" s="69">
        <f>R31+2%</f>
        <v>0.11396319035581495</v>
      </c>
    </row>
    <row r="34" spans="1:26" ht="15.75" customHeight="1">
      <c r="J34" s="40"/>
      <c r="K34" s="40"/>
      <c r="L34" s="40"/>
      <c r="M34" s="40"/>
      <c r="N34" s="40"/>
      <c r="O34" s="40"/>
      <c r="P34" s="40"/>
      <c r="Q34" s="40"/>
      <c r="R34" s="40"/>
    </row>
    <row r="35" spans="1:26" ht="15.75" customHeight="1">
      <c r="C35" s="76" t="s">
        <v>224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1:26" ht="15" customHeight="1">
      <c r="A36" s="19"/>
      <c r="B36" s="19"/>
      <c r="C36" s="19"/>
      <c r="D36" s="19" t="s">
        <v>221</v>
      </c>
      <c r="E36" s="19" t="s">
        <v>171</v>
      </c>
      <c r="F36" s="19"/>
      <c r="G36" s="19"/>
      <c r="H36" s="19"/>
      <c r="I36" s="19"/>
      <c r="J36" s="54"/>
      <c r="K36" s="54"/>
      <c r="L36" s="54"/>
      <c r="M36" s="54"/>
      <c r="N36" s="54"/>
      <c r="O36" s="78">
        <f t="array" ref="O36">INDEX(O37:O39, scenarioswitch)</f>
        <v>0.12612844934505718</v>
      </c>
      <c r="P36" s="78">
        <f t="array" ref="P36">INDEX(P37:P39, scenarioswitch)</f>
        <v>0.12612844934505718</v>
      </c>
      <c r="Q36" s="78">
        <f t="array" ref="Q36">INDEX(Q37:Q39, scenarioswitch)</f>
        <v>0.12612844934505718</v>
      </c>
      <c r="R36" s="78">
        <f t="array" ref="R36">INDEX(R37:R39, scenarioswitch)</f>
        <v>0.12612844934505718</v>
      </c>
      <c r="S36" s="19"/>
      <c r="T36" s="19"/>
      <c r="U36" s="19"/>
      <c r="V36" s="19"/>
      <c r="W36" s="19"/>
      <c r="X36" s="19"/>
      <c r="Y36" s="19"/>
      <c r="Z36" s="19"/>
    </row>
    <row r="37" spans="1:26" ht="15" customHeight="1">
      <c r="D37" s="77" t="str">
        <f>D31</f>
        <v>Base case</v>
      </c>
      <c r="E37" s="25" t="s">
        <v>171</v>
      </c>
      <c r="J37" s="40"/>
      <c r="K37" s="40"/>
      <c r="L37" s="40"/>
      <c r="M37" s="40"/>
      <c r="N37" s="40"/>
      <c r="O37" s="69">
        <v>0.12612844934505718</v>
      </c>
      <c r="P37" s="69">
        <v>0.12612844934505718</v>
      </c>
      <c r="Q37" s="69">
        <v>0.12612844934505718</v>
      </c>
      <c r="R37" s="69">
        <v>0.12612844934505718</v>
      </c>
    </row>
    <row r="38" spans="1:26" ht="15" customHeight="1">
      <c r="D38" s="77" t="str">
        <f>D32</f>
        <v>Best case</v>
      </c>
      <c r="E38" s="25" t="s">
        <v>171</v>
      </c>
      <c r="J38" s="40"/>
      <c r="K38" s="40"/>
      <c r="L38" s="40"/>
      <c r="M38" s="40"/>
      <c r="N38" s="40"/>
      <c r="O38" s="69">
        <f>O37-5%</f>
        <v>7.6128449345057178E-2</v>
      </c>
      <c r="P38" s="69">
        <f>P37-5%</f>
        <v>7.6128449345057178E-2</v>
      </c>
      <c r="Q38" s="69">
        <f>Q37-5%</f>
        <v>7.6128449345057178E-2</v>
      </c>
      <c r="R38" s="69">
        <f>R37-5%</f>
        <v>7.6128449345057178E-2</v>
      </c>
    </row>
    <row r="39" spans="1:26" ht="15.75" customHeight="1">
      <c r="D39" s="77" t="str">
        <f>D33</f>
        <v>Worst case</v>
      </c>
      <c r="E39" s="25" t="s">
        <v>171</v>
      </c>
      <c r="J39" s="40"/>
      <c r="K39" s="40"/>
      <c r="L39" s="40"/>
      <c r="M39" s="40"/>
      <c r="N39" s="40"/>
      <c r="O39" s="69">
        <f>O37+5%</f>
        <v>0.17612844934505717</v>
      </c>
      <c r="P39" s="69">
        <f>P37+5%</f>
        <v>0.17612844934505717</v>
      </c>
      <c r="Q39" s="69">
        <f>Q37+5%</f>
        <v>0.17612844934505717</v>
      </c>
      <c r="R39" s="69">
        <f>R37+5%</f>
        <v>0.17612844934505717</v>
      </c>
    </row>
    <row r="40" spans="1:26" ht="15.75" customHeight="1">
      <c r="J40" s="40"/>
      <c r="K40" s="40"/>
      <c r="L40" s="40"/>
      <c r="M40" s="40"/>
      <c r="N40" s="40"/>
      <c r="O40" s="40"/>
      <c r="P40" s="40"/>
      <c r="Q40" s="40"/>
      <c r="R40" s="40"/>
    </row>
    <row r="41" spans="1:26" ht="15.75" customHeight="1">
      <c r="J41" s="40"/>
      <c r="K41" s="40"/>
      <c r="L41" s="40"/>
      <c r="M41" s="40"/>
      <c r="N41" s="40"/>
      <c r="O41" s="40"/>
      <c r="P41" s="40"/>
      <c r="Q41" s="40"/>
      <c r="R41" s="40"/>
    </row>
    <row r="42" spans="1:26" ht="15.75" customHeight="1">
      <c r="J42" s="40"/>
      <c r="K42" s="40"/>
      <c r="L42" s="40"/>
      <c r="M42" s="40"/>
      <c r="N42" s="40"/>
      <c r="O42" s="40"/>
      <c r="P42" s="40"/>
      <c r="Q42" s="40"/>
      <c r="R42" s="40"/>
    </row>
    <row r="43" spans="1:26" ht="15.75" customHeight="1">
      <c r="J43" s="40"/>
      <c r="K43" s="40"/>
      <c r="L43" s="40"/>
      <c r="M43" s="40"/>
      <c r="N43" s="40"/>
      <c r="O43" s="40"/>
      <c r="P43" s="40"/>
      <c r="Q43" s="40"/>
      <c r="R43" s="40"/>
    </row>
    <row r="44" spans="1:26" ht="15.75" customHeight="1">
      <c r="J44" s="40"/>
      <c r="K44" s="40"/>
      <c r="L44" s="40"/>
      <c r="M44" s="40"/>
      <c r="N44" s="40"/>
      <c r="O44" s="40"/>
      <c r="P44" s="40"/>
      <c r="Q44" s="40"/>
      <c r="R44" s="40"/>
    </row>
    <row r="45" spans="1:26" ht="15.75" customHeight="1">
      <c r="J45" s="40"/>
      <c r="K45" s="40"/>
      <c r="L45" s="40"/>
      <c r="M45" s="40"/>
      <c r="N45" s="40"/>
      <c r="O45" s="40"/>
      <c r="P45" s="40"/>
      <c r="Q45" s="40"/>
      <c r="R45" s="40"/>
    </row>
    <row r="46" spans="1:26" ht="15.75" customHeight="1">
      <c r="J46" s="40"/>
      <c r="K46" s="40"/>
      <c r="L46" s="40"/>
      <c r="M46" s="40"/>
      <c r="N46" s="40"/>
      <c r="O46" s="40"/>
      <c r="P46" s="40"/>
      <c r="Q46" s="40"/>
      <c r="R46" s="40"/>
    </row>
    <row r="47" spans="1:26" ht="15.75" customHeight="1">
      <c r="J47" s="40"/>
      <c r="K47" s="40"/>
      <c r="L47" s="40"/>
      <c r="M47" s="40"/>
      <c r="N47" s="40"/>
      <c r="O47" s="40"/>
      <c r="P47" s="40"/>
      <c r="Q47" s="40"/>
      <c r="R47" s="40"/>
    </row>
    <row r="48" spans="1:26" ht="15.75" customHeight="1">
      <c r="J48" s="40"/>
      <c r="K48" s="40"/>
      <c r="L48" s="40"/>
      <c r="M48" s="40"/>
      <c r="N48" s="40"/>
      <c r="O48" s="40"/>
      <c r="P48" s="40"/>
      <c r="Q48" s="40"/>
      <c r="R48" s="40"/>
    </row>
    <row r="49" spans="10:18" ht="15.75" customHeight="1">
      <c r="J49" s="40"/>
      <c r="K49" s="40"/>
      <c r="L49" s="40"/>
      <c r="M49" s="40"/>
      <c r="N49" s="40"/>
      <c r="O49" s="40"/>
      <c r="P49" s="40"/>
      <c r="Q49" s="40"/>
      <c r="R49" s="40"/>
    </row>
    <row r="50" spans="10:18" ht="15.75" customHeight="1">
      <c r="J50" s="40"/>
      <c r="K50" s="40"/>
      <c r="L50" s="40"/>
      <c r="M50" s="40"/>
      <c r="N50" s="40"/>
      <c r="O50" s="40"/>
      <c r="P50" s="40"/>
      <c r="Q50" s="40"/>
      <c r="R50" s="40"/>
    </row>
    <row r="51" spans="10:18" ht="15.75" customHeight="1">
      <c r="J51" s="40"/>
      <c r="K51" s="40"/>
      <c r="L51" s="40"/>
      <c r="M51" s="40"/>
      <c r="N51" s="40"/>
      <c r="O51" s="40"/>
      <c r="P51" s="40"/>
      <c r="Q51" s="40"/>
      <c r="R51" s="40"/>
    </row>
    <row r="52" spans="10:18" ht="15.75" customHeight="1">
      <c r="J52" s="40"/>
      <c r="K52" s="40"/>
      <c r="L52" s="40"/>
      <c r="M52" s="40"/>
      <c r="N52" s="40"/>
      <c r="O52" s="40"/>
      <c r="P52" s="40"/>
      <c r="Q52" s="40"/>
      <c r="R52" s="40"/>
    </row>
    <row r="53" spans="10:18" ht="15.75" customHeight="1">
      <c r="J53" s="40"/>
      <c r="K53" s="40"/>
      <c r="L53" s="40"/>
      <c r="M53" s="40"/>
      <c r="N53" s="40"/>
      <c r="O53" s="40"/>
      <c r="P53" s="40"/>
      <c r="Q53" s="40"/>
      <c r="R53" s="40"/>
    </row>
    <row r="54" spans="10:18" ht="15.75" customHeight="1">
      <c r="J54" s="40"/>
      <c r="K54" s="40"/>
      <c r="L54" s="40"/>
      <c r="M54" s="40"/>
      <c r="N54" s="40"/>
      <c r="O54" s="40"/>
      <c r="P54" s="40"/>
      <c r="Q54" s="40"/>
      <c r="R54" s="40"/>
    </row>
    <row r="55" spans="10:18" ht="15.75" customHeight="1">
      <c r="J55" s="40"/>
      <c r="K55" s="40"/>
      <c r="L55" s="40"/>
      <c r="M55" s="40"/>
      <c r="N55" s="40"/>
      <c r="O55" s="40"/>
      <c r="P55" s="40"/>
      <c r="Q55" s="40"/>
      <c r="R55" s="40"/>
    </row>
    <row r="56" spans="10:18" ht="15.75" customHeight="1">
      <c r="J56" s="40"/>
      <c r="K56" s="40"/>
      <c r="L56" s="40"/>
      <c r="M56" s="40"/>
      <c r="N56" s="40"/>
      <c r="O56" s="40"/>
      <c r="P56" s="40"/>
      <c r="Q56" s="40"/>
      <c r="R56" s="40"/>
    </row>
    <row r="57" spans="10:18" ht="15.75" customHeight="1">
      <c r="J57" s="40"/>
      <c r="K57" s="40"/>
      <c r="L57" s="40"/>
      <c r="M57" s="40"/>
      <c r="N57" s="40"/>
      <c r="O57" s="40"/>
      <c r="P57" s="40"/>
      <c r="Q57" s="40"/>
      <c r="R57" s="40"/>
    </row>
    <row r="58" spans="10:18" ht="15.75" customHeight="1">
      <c r="J58" s="40"/>
      <c r="K58" s="40"/>
      <c r="L58" s="40"/>
      <c r="M58" s="40"/>
      <c r="N58" s="40"/>
      <c r="O58" s="40"/>
      <c r="P58" s="40"/>
      <c r="Q58" s="40"/>
      <c r="R58" s="40"/>
    </row>
    <row r="59" spans="10:18" ht="15.75" customHeight="1">
      <c r="J59" s="40"/>
      <c r="K59" s="40"/>
      <c r="L59" s="40"/>
      <c r="M59" s="40"/>
      <c r="N59" s="40"/>
      <c r="O59" s="40"/>
      <c r="P59" s="40"/>
      <c r="Q59" s="40"/>
      <c r="R59" s="40"/>
    </row>
    <row r="60" spans="10:18" ht="15.75" customHeight="1">
      <c r="J60" s="40"/>
      <c r="K60" s="40"/>
      <c r="L60" s="40"/>
      <c r="M60" s="40"/>
      <c r="N60" s="40"/>
      <c r="O60" s="40"/>
      <c r="P60" s="40"/>
      <c r="Q60" s="40"/>
      <c r="R60" s="40"/>
    </row>
    <row r="61" spans="10:18" ht="15.75" customHeight="1">
      <c r="J61" s="40"/>
      <c r="K61" s="40"/>
      <c r="L61" s="40"/>
      <c r="M61" s="40"/>
      <c r="N61" s="40"/>
      <c r="O61" s="40"/>
      <c r="P61" s="40"/>
      <c r="Q61" s="40"/>
      <c r="R61" s="40"/>
    </row>
    <row r="62" spans="10:18" ht="15.75" customHeight="1">
      <c r="J62" s="40"/>
      <c r="K62" s="40"/>
      <c r="L62" s="40"/>
      <c r="M62" s="40"/>
      <c r="N62" s="40"/>
      <c r="O62" s="40"/>
      <c r="P62" s="40"/>
      <c r="Q62" s="40"/>
      <c r="R62" s="40"/>
    </row>
    <row r="63" spans="10:18" ht="15.75" customHeight="1">
      <c r="J63" s="40"/>
      <c r="K63" s="40"/>
      <c r="L63" s="40"/>
      <c r="M63" s="40"/>
      <c r="N63" s="40"/>
      <c r="O63" s="40"/>
      <c r="P63" s="40"/>
      <c r="Q63" s="40"/>
      <c r="R63" s="40"/>
    </row>
    <row r="64" spans="10:18" ht="15.75" customHeight="1">
      <c r="J64" s="40"/>
      <c r="K64" s="40"/>
      <c r="L64" s="40"/>
      <c r="M64" s="40"/>
      <c r="N64" s="40"/>
      <c r="O64" s="40"/>
      <c r="P64" s="40"/>
      <c r="Q64" s="40"/>
      <c r="R64" s="40"/>
    </row>
    <row r="65" spans="10:18" ht="15.75" customHeight="1">
      <c r="J65" s="40"/>
      <c r="K65" s="40"/>
      <c r="L65" s="40"/>
      <c r="M65" s="40"/>
      <c r="N65" s="40"/>
      <c r="O65" s="40"/>
      <c r="P65" s="40"/>
      <c r="Q65" s="40"/>
      <c r="R65" s="40"/>
    </row>
    <row r="66" spans="10:18" ht="15.75" customHeight="1">
      <c r="J66" s="40"/>
      <c r="K66" s="40"/>
      <c r="L66" s="40"/>
      <c r="M66" s="40"/>
      <c r="N66" s="40"/>
      <c r="O66" s="40"/>
      <c r="P66" s="40"/>
      <c r="Q66" s="40"/>
      <c r="R66" s="40"/>
    </row>
    <row r="67" spans="10:18" ht="15.75" customHeight="1">
      <c r="J67" s="40"/>
      <c r="K67" s="40"/>
      <c r="L67" s="40"/>
      <c r="M67" s="40"/>
      <c r="N67" s="40"/>
      <c r="O67" s="40"/>
      <c r="P67" s="40"/>
      <c r="Q67" s="40"/>
      <c r="R67" s="40"/>
    </row>
    <row r="68" spans="10:18" ht="15.75" customHeight="1">
      <c r="J68" s="40"/>
      <c r="K68" s="40"/>
      <c r="L68" s="40"/>
      <c r="M68" s="40"/>
      <c r="N68" s="40"/>
      <c r="O68" s="40"/>
      <c r="P68" s="40"/>
      <c r="Q68" s="40"/>
      <c r="R68" s="40"/>
    </row>
    <row r="69" spans="10:18" ht="15.75" customHeight="1">
      <c r="J69" s="40"/>
      <c r="K69" s="40"/>
      <c r="L69" s="40"/>
      <c r="M69" s="40"/>
      <c r="N69" s="40"/>
      <c r="O69" s="40"/>
      <c r="P69" s="40"/>
      <c r="Q69" s="40"/>
      <c r="R69" s="40"/>
    </row>
    <row r="70" spans="10:18" ht="15.75" customHeight="1">
      <c r="J70" s="40"/>
      <c r="K70" s="40"/>
      <c r="L70" s="40"/>
      <c r="M70" s="40"/>
      <c r="N70" s="40"/>
      <c r="O70" s="40"/>
      <c r="P70" s="40"/>
      <c r="Q70" s="40"/>
      <c r="R70" s="40"/>
    </row>
    <row r="71" spans="10:18" ht="15.75" customHeight="1">
      <c r="J71" s="40"/>
      <c r="K71" s="40"/>
      <c r="L71" s="40"/>
      <c r="M71" s="40"/>
      <c r="N71" s="40"/>
      <c r="O71" s="40"/>
      <c r="P71" s="40"/>
      <c r="Q71" s="40"/>
      <c r="R71" s="40"/>
    </row>
    <row r="72" spans="10:18" ht="15.75" customHeight="1">
      <c r="J72" s="40"/>
      <c r="K72" s="40"/>
      <c r="L72" s="40"/>
      <c r="M72" s="40"/>
      <c r="N72" s="40"/>
      <c r="O72" s="40"/>
      <c r="P72" s="40"/>
      <c r="Q72" s="40"/>
      <c r="R72" s="40"/>
    </row>
    <row r="73" spans="10:18" ht="15.75" customHeight="1">
      <c r="J73" s="40"/>
      <c r="K73" s="40"/>
      <c r="L73" s="40"/>
      <c r="M73" s="40"/>
      <c r="N73" s="40"/>
      <c r="O73" s="40"/>
      <c r="P73" s="40"/>
      <c r="Q73" s="40"/>
      <c r="R73" s="40"/>
    </row>
    <row r="74" spans="10:18" ht="15.75" customHeight="1">
      <c r="J74" s="40"/>
      <c r="K74" s="40"/>
      <c r="L74" s="40"/>
      <c r="M74" s="40"/>
      <c r="N74" s="40"/>
      <c r="O74" s="40"/>
      <c r="P74" s="40"/>
      <c r="Q74" s="40"/>
      <c r="R74" s="40"/>
    </row>
    <row r="75" spans="10:18" ht="15.75" customHeight="1">
      <c r="J75" s="40"/>
      <c r="K75" s="40"/>
      <c r="L75" s="40"/>
      <c r="M75" s="40"/>
      <c r="N75" s="40"/>
      <c r="O75" s="40"/>
      <c r="P75" s="40"/>
      <c r="Q75" s="40"/>
      <c r="R75" s="40"/>
    </row>
    <row r="76" spans="10:18" ht="15.75" customHeight="1">
      <c r="J76" s="40"/>
      <c r="K76" s="40"/>
      <c r="L76" s="40"/>
      <c r="M76" s="40"/>
      <c r="N76" s="40"/>
      <c r="O76" s="40"/>
      <c r="P76" s="40"/>
      <c r="Q76" s="40"/>
      <c r="R76" s="40"/>
    </row>
    <row r="77" spans="10:18" ht="15.75" customHeight="1">
      <c r="J77" s="40"/>
      <c r="K77" s="40"/>
      <c r="L77" s="40"/>
      <c r="M77" s="40"/>
      <c r="N77" s="40"/>
      <c r="O77" s="40"/>
      <c r="P77" s="40"/>
      <c r="Q77" s="40"/>
      <c r="R77" s="40"/>
    </row>
    <row r="78" spans="10:18" ht="15.75" customHeight="1">
      <c r="J78" s="40"/>
      <c r="K78" s="40"/>
      <c r="L78" s="40"/>
      <c r="M78" s="40"/>
      <c r="N78" s="40"/>
      <c r="O78" s="40"/>
      <c r="P78" s="40"/>
      <c r="Q78" s="40"/>
      <c r="R78" s="40"/>
    </row>
    <row r="79" spans="10:18" ht="15.75" customHeight="1">
      <c r="J79" s="40"/>
      <c r="K79" s="40"/>
      <c r="L79" s="40"/>
      <c r="M79" s="40"/>
      <c r="N79" s="40"/>
      <c r="O79" s="40"/>
      <c r="P79" s="40"/>
      <c r="Q79" s="40"/>
      <c r="R79" s="40"/>
    </row>
    <row r="80" spans="10:18" ht="15.75" customHeight="1">
      <c r="J80" s="40"/>
      <c r="K80" s="40"/>
      <c r="L80" s="40"/>
      <c r="M80" s="40"/>
      <c r="N80" s="40"/>
      <c r="O80" s="40"/>
      <c r="P80" s="40"/>
      <c r="Q80" s="40"/>
      <c r="R80" s="40"/>
    </row>
    <row r="81" spans="10:18" ht="15.75" customHeight="1">
      <c r="J81" s="40"/>
      <c r="K81" s="40"/>
      <c r="L81" s="40"/>
      <c r="M81" s="40"/>
      <c r="N81" s="40"/>
      <c r="O81" s="40"/>
      <c r="P81" s="40"/>
      <c r="Q81" s="40"/>
      <c r="R81" s="40"/>
    </row>
    <row r="82" spans="10:18" ht="15.75" customHeight="1">
      <c r="J82" s="40"/>
      <c r="K82" s="40"/>
      <c r="L82" s="40"/>
      <c r="M82" s="40"/>
      <c r="N82" s="40"/>
      <c r="O82" s="40"/>
      <c r="P82" s="40"/>
      <c r="Q82" s="40"/>
      <c r="R82" s="40"/>
    </row>
    <row r="83" spans="10:18" ht="15.75" customHeight="1">
      <c r="J83" s="40"/>
      <c r="K83" s="40"/>
      <c r="L83" s="40"/>
      <c r="M83" s="40"/>
      <c r="N83" s="40"/>
      <c r="O83" s="40"/>
      <c r="P83" s="40"/>
      <c r="Q83" s="40"/>
      <c r="R83" s="40"/>
    </row>
    <row r="84" spans="10:18" ht="15.75" customHeight="1">
      <c r="J84" s="40"/>
      <c r="K84" s="40"/>
      <c r="L84" s="40"/>
      <c r="M84" s="40"/>
      <c r="N84" s="40"/>
      <c r="O84" s="40"/>
      <c r="P84" s="40"/>
      <c r="Q84" s="40"/>
      <c r="R84" s="40"/>
    </row>
    <row r="85" spans="10:18" ht="15.75" customHeight="1">
      <c r="J85" s="40"/>
      <c r="K85" s="40"/>
      <c r="L85" s="40"/>
      <c r="M85" s="40"/>
      <c r="N85" s="40"/>
      <c r="O85" s="40"/>
      <c r="P85" s="40"/>
      <c r="Q85" s="40"/>
      <c r="R85" s="40"/>
    </row>
    <row r="86" spans="10:18" ht="15.75" customHeight="1">
      <c r="J86" s="40"/>
      <c r="K86" s="40"/>
      <c r="L86" s="40"/>
      <c r="M86" s="40"/>
      <c r="N86" s="40"/>
      <c r="O86" s="40"/>
      <c r="P86" s="40"/>
      <c r="Q86" s="40"/>
      <c r="R86" s="40"/>
    </row>
    <row r="87" spans="10:18" ht="15.75" customHeight="1">
      <c r="J87" s="40"/>
      <c r="K87" s="40"/>
      <c r="L87" s="40"/>
      <c r="M87" s="40"/>
      <c r="N87" s="40"/>
      <c r="O87" s="40"/>
      <c r="P87" s="40"/>
      <c r="Q87" s="40"/>
      <c r="R87" s="40"/>
    </row>
    <row r="88" spans="10:18" ht="15.75" customHeight="1">
      <c r="J88" s="40"/>
      <c r="K88" s="40"/>
      <c r="L88" s="40"/>
      <c r="M88" s="40"/>
      <c r="N88" s="40"/>
      <c r="O88" s="40"/>
      <c r="P88" s="40"/>
      <c r="Q88" s="40"/>
      <c r="R88" s="40"/>
    </row>
    <row r="89" spans="10:18" ht="15.75" customHeight="1">
      <c r="J89" s="40"/>
      <c r="K89" s="40"/>
      <c r="L89" s="40"/>
      <c r="M89" s="40"/>
      <c r="N89" s="40"/>
      <c r="O89" s="40"/>
      <c r="P89" s="40"/>
      <c r="Q89" s="40"/>
      <c r="R89" s="40"/>
    </row>
    <row r="90" spans="10:18" ht="15.75" customHeight="1">
      <c r="J90" s="40"/>
      <c r="K90" s="40"/>
      <c r="L90" s="40"/>
      <c r="M90" s="40"/>
      <c r="N90" s="40"/>
      <c r="O90" s="40"/>
      <c r="P90" s="40"/>
      <c r="Q90" s="40"/>
      <c r="R90" s="40"/>
    </row>
    <row r="91" spans="10:18" ht="15.75" customHeight="1">
      <c r="J91" s="40"/>
      <c r="K91" s="40"/>
      <c r="L91" s="40"/>
      <c r="M91" s="40"/>
      <c r="N91" s="40"/>
      <c r="O91" s="40"/>
      <c r="P91" s="40"/>
      <c r="Q91" s="40"/>
      <c r="R91" s="40"/>
    </row>
    <row r="92" spans="10:18" ht="15.75" customHeight="1">
      <c r="J92" s="40"/>
      <c r="K92" s="40"/>
      <c r="L92" s="40"/>
      <c r="M92" s="40"/>
      <c r="N92" s="40"/>
      <c r="O92" s="40"/>
      <c r="P92" s="40"/>
      <c r="Q92" s="40"/>
      <c r="R92" s="40"/>
    </row>
    <row r="93" spans="10:18" ht="15.75" customHeight="1">
      <c r="J93" s="40"/>
      <c r="K93" s="40"/>
      <c r="L93" s="40"/>
      <c r="M93" s="40"/>
      <c r="N93" s="40"/>
      <c r="O93" s="40"/>
      <c r="P93" s="40"/>
      <c r="Q93" s="40"/>
      <c r="R93" s="40"/>
    </row>
    <row r="94" spans="10:18" ht="15.75" customHeight="1">
      <c r="J94" s="40"/>
      <c r="K94" s="40"/>
      <c r="L94" s="40"/>
      <c r="M94" s="40"/>
      <c r="N94" s="40"/>
      <c r="O94" s="40"/>
      <c r="P94" s="40"/>
      <c r="Q94" s="40"/>
      <c r="R94" s="40"/>
    </row>
    <row r="95" spans="10:18" ht="15.75" customHeight="1">
      <c r="J95" s="40"/>
      <c r="K95" s="40"/>
      <c r="L95" s="40"/>
      <c r="M95" s="40"/>
      <c r="N95" s="40"/>
      <c r="O95" s="40"/>
      <c r="P95" s="40"/>
      <c r="Q95" s="40"/>
      <c r="R95" s="40"/>
    </row>
    <row r="96" spans="10:18" ht="15.75" customHeight="1">
      <c r="J96" s="40"/>
      <c r="K96" s="40"/>
      <c r="L96" s="40"/>
      <c r="M96" s="40"/>
      <c r="N96" s="40"/>
      <c r="O96" s="40"/>
      <c r="P96" s="40"/>
      <c r="Q96" s="40"/>
      <c r="R96" s="40"/>
    </row>
    <row r="97" spans="10:18" ht="15.75" customHeight="1">
      <c r="J97" s="40"/>
      <c r="K97" s="40"/>
      <c r="L97" s="40"/>
      <c r="M97" s="40"/>
      <c r="N97" s="40"/>
      <c r="O97" s="40"/>
      <c r="P97" s="40"/>
      <c r="Q97" s="40"/>
      <c r="R97" s="40"/>
    </row>
    <row r="98" spans="10:18" ht="15.75" customHeight="1">
      <c r="J98" s="40"/>
      <c r="K98" s="40"/>
      <c r="L98" s="40"/>
      <c r="M98" s="40"/>
      <c r="N98" s="40"/>
      <c r="O98" s="40"/>
      <c r="P98" s="40"/>
      <c r="Q98" s="40"/>
      <c r="R98" s="40"/>
    </row>
    <row r="99" spans="10:18" ht="15.75" customHeight="1">
      <c r="J99" s="40"/>
      <c r="K99" s="40"/>
      <c r="L99" s="40"/>
      <c r="M99" s="40"/>
      <c r="N99" s="40"/>
      <c r="O99" s="40"/>
      <c r="P99" s="40"/>
      <c r="Q99" s="40"/>
      <c r="R99" s="40"/>
    </row>
    <row r="100" spans="10:18" ht="15.75" customHeight="1"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10:18" ht="15.75" customHeight="1">
      <c r="J101" s="40"/>
      <c r="K101" s="40"/>
      <c r="L101" s="40"/>
      <c r="M101" s="40"/>
      <c r="N101" s="40"/>
      <c r="O101" s="40"/>
      <c r="P101" s="40"/>
      <c r="Q101" s="40"/>
      <c r="R101" s="40"/>
    </row>
    <row r="102" spans="10:18" ht="15.75" customHeight="1"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10:18" ht="15.75" customHeight="1"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10:18" ht="15.75" customHeight="1">
      <c r="J104" s="40"/>
      <c r="K104" s="40"/>
      <c r="L104" s="40"/>
      <c r="M104" s="40"/>
      <c r="N104" s="40"/>
      <c r="O104" s="40"/>
      <c r="P104" s="40"/>
      <c r="Q104" s="40"/>
      <c r="R104" s="40"/>
    </row>
    <row r="105" spans="10:18" ht="15.75" customHeight="1"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10:18" ht="15.75" customHeight="1">
      <c r="J106" s="40"/>
      <c r="K106" s="40"/>
      <c r="L106" s="40"/>
      <c r="M106" s="40"/>
      <c r="N106" s="40"/>
      <c r="O106" s="40"/>
      <c r="P106" s="40"/>
      <c r="Q106" s="40"/>
      <c r="R106" s="40"/>
    </row>
    <row r="107" spans="10:18" ht="15.75" customHeight="1"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10:18" ht="15.75" customHeight="1">
      <c r="J108" s="40"/>
      <c r="K108" s="40"/>
      <c r="L108" s="40"/>
      <c r="M108" s="40"/>
      <c r="N108" s="40"/>
      <c r="O108" s="40"/>
      <c r="P108" s="40"/>
      <c r="Q108" s="40"/>
      <c r="R108" s="40"/>
    </row>
    <row r="109" spans="10:18" ht="15.75" customHeight="1">
      <c r="J109" s="40"/>
      <c r="K109" s="40"/>
      <c r="L109" s="40"/>
      <c r="M109" s="40"/>
      <c r="N109" s="40"/>
      <c r="O109" s="40"/>
      <c r="P109" s="40"/>
      <c r="Q109" s="40"/>
      <c r="R109" s="40"/>
    </row>
    <row r="110" spans="10:18" ht="15.75" customHeight="1"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10:18" ht="15.75" customHeight="1"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10:18" ht="15.75" customHeight="1"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0:18" ht="15.75" customHeight="1"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10:18" ht="15.75" customHeight="1"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0:18" ht="15.75" customHeight="1"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10:18" ht="15.75" customHeight="1"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10:18" ht="15.75" customHeight="1"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10:18" ht="15.75" customHeight="1"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10:18" ht="15.75" customHeight="1"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10:18" ht="15.75" customHeight="1"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10:18" ht="15.75" customHeight="1"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10:18" ht="15.75" customHeight="1"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10:18" ht="15.75" customHeight="1"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10:18" ht="15.75" customHeight="1"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10:18" ht="15.75" customHeight="1"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10:18" ht="15.75" customHeight="1"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10:18" ht="15.75" customHeight="1"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10:18" ht="15.75" customHeight="1"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10:18" ht="15.75" customHeight="1"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10:18" ht="15.75" customHeight="1"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10:18" ht="15.75" customHeight="1"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10:18" ht="15.75" customHeight="1"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10:18" ht="15.75" customHeight="1"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10:18" ht="15.75" customHeight="1"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10:18" ht="15.75" customHeight="1"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10:18" ht="15.75" customHeight="1"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10:18" ht="15.75" customHeight="1"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10:18" ht="15.75" customHeight="1"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10:18" ht="15.75" customHeight="1"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10:18" ht="15.75" customHeight="1"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10:18" ht="15.75" customHeight="1"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10:18" ht="15.75" customHeight="1"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10:18" ht="15.75" customHeight="1"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10:18" ht="15.75" customHeight="1"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10:18" ht="15.75" customHeight="1"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0:18" ht="15.75" customHeight="1"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10:18" ht="15.75" customHeight="1"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10:18" ht="15.75" customHeight="1"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10:18" ht="15.75" customHeight="1"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10:18" ht="15.75" customHeight="1"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10:18" ht="15.75" customHeight="1"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10:18" ht="15.75" customHeight="1"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10:18" ht="15.75" customHeight="1"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10:18" ht="15.75" customHeight="1"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10:18" ht="15.75" customHeight="1"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0:18" ht="15.75" customHeight="1"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0:18" ht="15.75" customHeight="1"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0:18" ht="15.75" customHeight="1"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0:18" ht="15.75" customHeight="1"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0:18" ht="15.75" customHeight="1"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0:18" ht="15.75" customHeight="1"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0:18" ht="15.75" customHeight="1"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0:18" ht="15.75" customHeight="1"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0:18" ht="15.75" customHeight="1"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0:18" ht="15.75" customHeight="1"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0:18" ht="15.75" customHeight="1"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0:18" ht="15.75" customHeight="1"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0:18" ht="15.75" customHeight="1"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0:18" ht="15.75" customHeight="1"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0:18" ht="15.75" customHeight="1"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0:18" ht="15.75" customHeight="1"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0:18" ht="15.75" customHeight="1"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0:18" ht="15.75" customHeight="1"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0:18" ht="15.75" customHeight="1"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0:18" ht="15.75" customHeight="1"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0:18" ht="15.75" customHeight="1"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0:18" ht="15.75" customHeight="1"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0:18" ht="15.75" customHeight="1"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0:18" ht="15.75" customHeight="1"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0:18" ht="15.75" customHeight="1"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0:18" ht="15.75" customHeight="1"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0:18" ht="15.75" customHeight="1"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0:18" ht="15.75" customHeight="1"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0:18" ht="15.75" customHeight="1"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0:18" ht="15.75" customHeight="1"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0:18" ht="15.75" customHeight="1"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0:18" ht="15.75" customHeight="1"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0:18" ht="15.75" customHeight="1"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0:18" ht="15.75" customHeight="1"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0:18" ht="15.75" customHeight="1"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0:18" ht="15.75" customHeight="1"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0:18" ht="15.75" customHeight="1"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0:18" ht="15.75" customHeight="1"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0:18" ht="15.75" customHeight="1"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0:18" ht="15.75" customHeight="1"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0:18" ht="15.75" customHeight="1"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0:18" ht="15.75" customHeight="1"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0:18" ht="15.75" customHeight="1"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0:18" ht="15.75" customHeight="1"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0:18" ht="15.75" customHeight="1"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0:18" ht="15.75" customHeight="1"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0:18" ht="15.75" customHeight="1"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0:18" ht="15.75" customHeight="1"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0:18" ht="15.75" customHeight="1"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0:18" ht="15.75" customHeight="1"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0:18" ht="15.75" customHeight="1"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0:18" ht="15.75" customHeight="1"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0:18" ht="15.75" customHeight="1"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0:18" ht="15.75" customHeight="1"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0:18" ht="15.75" customHeight="1"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0:18" ht="15.75" customHeight="1"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0:18" ht="15.75" customHeight="1"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0:18" ht="15.75" customHeight="1"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0:18" ht="15.75" customHeight="1"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0:18" ht="15.75" customHeight="1"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0:18" ht="15.75" customHeight="1"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0:18" ht="15.75" customHeight="1"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0:18" ht="15.75" customHeight="1"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0:18" ht="15.75" customHeight="1"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0:18" ht="15.75" customHeight="1"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0:18" ht="15.75" customHeight="1"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0:18" ht="15.75" customHeight="1"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0:18" ht="15.75" customHeight="1"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0:18" ht="15.75" customHeight="1"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0:18" ht="15.75" customHeight="1"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0:18" ht="15.75" customHeight="1"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0:18" ht="15.75" customHeight="1"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0:18" ht="15.75" customHeight="1"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0:18" ht="15.75" customHeight="1"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0:18" ht="15.75" customHeight="1"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0:18" ht="15.75" customHeight="1"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0:18" ht="15.75" customHeight="1"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0:18" ht="15.75" customHeight="1"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0:18" ht="15.75" customHeight="1"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0:18" ht="15.75" customHeight="1"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0:18" ht="15.75" customHeight="1"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0:18" ht="15.75" customHeight="1"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0:18" ht="15.75" customHeight="1"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0:18" ht="15.75" customHeight="1"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0:18" ht="15.75" customHeight="1"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0:18" ht="15.75" customHeight="1"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0:18" ht="15.75" customHeight="1"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0:18" ht="15.75" customHeight="1"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0:18" ht="15.75" customHeight="1"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0:18" ht="15.75" customHeight="1"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0:18" ht="15.75" customHeight="1"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0:18" ht="15.75" customHeight="1"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0:18" ht="15.75" customHeight="1"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0:18" ht="15.75" customHeight="1"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0:18" ht="15.75" customHeight="1"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0:18" ht="15.75" customHeight="1"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0:18" ht="15.75" customHeight="1"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0:18" ht="15.75" customHeight="1"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0:18" ht="15.75" customHeight="1"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0:18" ht="15.75" customHeight="1"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0:18" ht="15.75" customHeight="1"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0:18" ht="15.75" customHeight="1"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0:18" ht="15.75" customHeight="1"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0:18" ht="15.75" customHeight="1"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0:18" ht="15.75" customHeight="1"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0:18" ht="15.75" customHeight="1"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0:18" ht="15.75" customHeight="1"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0:18" ht="15.75" customHeight="1"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0:18" ht="15.75" customHeight="1"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0:18" ht="15.75" customHeight="1"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0:18" ht="15.75" customHeight="1"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0:18" ht="15.75" customHeight="1"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0:18" ht="15.75" customHeight="1"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0:18" ht="15.75" customHeight="1"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0:18" ht="15.75" customHeight="1"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0:18" ht="15.75" customHeight="1"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0:18" ht="15.75" customHeight="1"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0:18" ht="15.75" customHeight="1"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0:18" ht="15.75" customHeight="1"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0:18" ht="15.75" customHeight="1"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0:18" ht="15.75" customHeight="1"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0:18" ht="15.75" customHeight="1"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0:18" ht="15.75" customHeight="1"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0:18" ht="15.75" customHeight="1"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0:18" ht="15.75" customHeight="1"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0:18" ht="15.75" customHeight="1"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0:18" ht="15.75" customHeight="1"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0:18" ht="15.75" customHeight="1"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0:18" ht="15.75" customHeight="1"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0:18" ht="15.75" customHeight="1"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0:18" ht="15.75" customHeight="1"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0:18" ht="15.75" customHeight="1"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0:18" ht="15.75" customHeight="1"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0:18" ht="15.75" customHeight="1"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0:18" ht="15.75" customHeight="1"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0:18" ht="15.75" customHeight="1"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0:18" ht="15.75" customHeight="1"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0:18" ht="15.75" customHeight="1"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0:18" ht="15.75" customHeight="1"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0:18" ht="15.75" customHeight="1"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0:18" ht="15.75" customHeight="1"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0:18" ht="15.75" customHeight="1"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0:18" ht="15.75" customHeight="1"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0:18" ht="15.75" customHeight="1"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0:18" ht="15.75" customHeight="1"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0:18" ht="15.75" customHeight="1"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0:18" ht="15.75" customHeight="1"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0:18" ht="15.75" customHeight="1"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0:18" ht="15.75" customHeight="1"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0:18" ht="15.75" customHeight="1"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0:18" ht="15.75" customHeight="1"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0:18" ht="15.75" customHeight="1"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0:18" ht="15.75" customHeight="1"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0:18" ht="15.75" customHeight="1"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0:18" ht="15.75" customHeight="1"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0:18" ht="15.75" customHeight="1"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0:18" ht="15.75" customHeight="1"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0:18" ht="15.75" customHeight="1"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0:18" ht="15.75" customHeight="1"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0:18" ht="15.75" customHeight="1"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0:18" ht="15.75" customHeight="1"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0:18" ht="15.75" customHeight="1"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0:18" ht="15.75" customHeight="1"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0:18" ht="15.75" customHeight="1"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0:18" ht="15.75" customHeight="1"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0:18" ht="15.75" customHeight="1"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0:18" ht="15.75" customHeight="1"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0:18" ht="15.75" customHeight="1"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0:18" ht="15.75" customHeight="1"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0:18" ht="15.75" customHeight="1"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0:18" ht="15.75" customHeight="1"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0:18" ht="15.75" customHeight="1"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0:18" ht="15.75" customHeight="1"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0:18" ht="15.75" customHeight="1"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0:18" ht="15.75" customHeight="1"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0:18" ht="15.75" customHeight="1"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0:18" ht="15.75" customHeight="1"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0:18" ht="15.75" customHeight="1"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0:18" ht="15.75" customHeight="1"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0:18" ht="15.75" customHeight="1"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0:18" ht="15.75" customHeight="1"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0:18" ht="15.75" customHeight="1"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0:18" ht="15.75" customHeight="1"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0:18" ht="15.75" customHeight="1"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0:18" ht="15.75" customHeight="1"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0:18" ht="15.75" customHeight="1"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0:18" ht="15.75" customHeight="1"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0:18" ht="15.75" customHeight="1"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0:18" ht="15.75" customHeight="1"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0:18" ht="15.75" customHeight="1"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0:18" ht="15.75" customHeight="1"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0:18" ht="15.75" customHeight="1"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0:18" ht="15.75" customHeight="1"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0:18" ht="15.75" customHeight="1"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0:18" ht="15.75" customHeight="1"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0:18" ht="15.75" customHeight="1"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0:18" ht="15.75" customHeight="1"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0:18" ht="15.75" customHeight="1"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0:18" ht="15.75" customHeight="1"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0:18" ht="15.75" customHeight="1"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0:18" ht="15.75" customHeight="1"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0:18" ht="15.75" customHeight="1"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0:18" ht="15.75" customHeight="1"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0:18" ht="15.75" customHeight="1"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0:18" ht="15.75" customHeight="1"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0:18" ht="15.75" customHeight="1"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0:18" ht="15.75" customHeight="1"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0:18" ht="15.75" customHeight="1"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0:18" ht="15.75" customHeight="1"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0:18" ht="15.75" customHeight="1"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0:18" ht="15.75" customHeight="1"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0:18" ht="15.75" customHeight="1"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0:18" ht="15.75" customHeight="1"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0:18" ht="15.75" customHeight="1"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0:18" ht="15.75" customHeight="1"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0:18" ht="15.75" customHeight="1"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0:18" ht="15.75" customHeight="1"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0:18" ht="15.75" customHeight="1"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0:18" ht="15.75" customHeight="1"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0:18" ht="15.75" customHeight="1"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0:18" ht="15.75" customHeight="1"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0:18" ht="15.75" customHeight="1"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0:18" ht="15.75" customHeight="1"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0:18" ht="15.75" customHeight="1"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0:18" ht="15.75" customHeight="1"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0:18" ht="15.75" customHeight="1"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0:18" ht="15.75" customHeight="1"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0:18" ht="15.75" customHeight="1"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0:18" ht="15.75" customHeight="1"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0:18" ht="15.75" customHeight="1"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0:18" ht="15.75" customHeight="1"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0:18" ht="15.75" customHeight="1"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0:18" ht="15.75" customHeight="1"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0:18" ht="15.75" customHeight="1"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0:18" ht="15.75" customHeight="1"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0:18" ht="15.75" customHeight="1"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0:18" ht="15.75" customHeight="1"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0:18" ht="15.75" customHeight="1"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0:18" ht="15.75" customHeight="1"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0:18" ht="15.75" customHeight="1"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0:18" ht="15.75" customHeight="1"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0:18" ht="15.75" customHeight="1"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0:18" ht="15.75" customHeight="1"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0:18" ht="15.75" customHeight="1"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0:18" ht="15.75" customHeight="1"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0:18" ht="15.75" customHeight="1"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0:18" ht="15.75" customHeight="1"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0:18" ht="15.75" customHeight="1"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0:18" ht="15.75" customHeight="1"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0:18" ht="15.75" customHeight="1"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0:18" ht="15.75" customHeight="1"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0:18" ht="15.75" customHeight="1"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0:18" ht="15.75" customHeight="1"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0:18" ht="15.75" customHeight="1"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0:18" ht="15.75" customHeight="1"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0:18" ht="15.75" customHeight="1"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0:18" ht="15.75" customHeight="1"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0:18" ht="15.75" customHeight="1"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0:18" ht="15.75" customHeight="1"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0:18" ht="15.75" customHeight="1"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0:18" ht="15.75" customHeight="1"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0:18" ht="15.75" customHeight="1"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0:18" ht="15.75" customHeight="1"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0:18" ht="15.75" customHeight="1"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0:18" ht="15.75" customHeight="1"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0:18" ht="15.75" customHeight="1"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0:18" ht="15.75" customHeight="1"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0:18" ht="15.75" customHeight="1"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0:18" ht="15.75" customHeight="1"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0:18" ht="15.75" customHeight="1"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0:18" ht="15.75" customHeight="1"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0:18" ht="15.75" customHeight="1"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0:18" ht="15.75" customHeight="1"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0:18" ht="15.75" customHeight="1"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0:18" ht="15.75" customHeight="1"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0:18" ht="15.75" customHeight="1"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0:18" ht="15.75" customHeight="1"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0:18" ht="15.75" customHeight="1"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0:18" ht="15.75" customHeight="1"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0:18" ht="15.75" customHeight="1"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0:18" ht="15.75" customHeight="1"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0:18" ht="15.75" customHeight="1"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0:18" ht="15.75" customHeight="1"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0:18" ht="15.75" customHeight="1"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0:18" ht="15.75" customHeight="1"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0:18" ht="15.75" customHeight="1"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0:18" ht="15.75" customHeight="1"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0:18" ht="15.75" customHeight="1"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0:18" ht="15.75" customHeight="1"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0:18" ht="15.75" customHeight="1"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0:18" ht="15.75" customHeight="1"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0:18" ht="15.75" customHeight="1"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0:18" ht="15.75" customHeight="1"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0:18" ht="15.75" customHeight="1"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0:18" ht="15.75" customHeight="1"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0:18" ht="15.75" customHeight="1"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0:18" ht="15.75" customHeight="1"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0:18" ht="15.75" customHeight="1"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0:18" ht="15.75" customHeight="1"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0:18" ht="15.75" customHeight="1"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0:18" ht="15.75" customHeight="1"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0:18" ht="15.75" customHeight="1"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0:18" ht="15.75" customHeight="1"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0:18" ht="15.75" customHeight="1"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0:18" ht="15.75" customHeight="1"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0:18" ht="15.75" customHeight="1"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0:18" ht="15.75" customHeight="1"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0:18" ht="15.75" customHeight="1"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0:18" ht="15.75" customHeight="1"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0:18" ht="15.75" customHeight="1"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0:18" ht="15.75" customHeight="1"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0:18" ht="15.75" customHeight="1"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0:18" ht="15.75" customHeight="1"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0:18" ht="15.75" customHeight="1"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0:18" ht="15.75" customHeight="1"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0:18" ht="15.75" customHeight="1"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0:18" ht="15.75" customHeight="1"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0:18" ht="15.75" customHeight="1"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0:18" ht="15.75" customHeight="1"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0:18" ht="15.75" customHeight="1"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0:18" ht="15.75" customHeight="1"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0:18" ht="15.75" customHeight="1"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0:18" ht="15.75" customHeight="1"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0:18" ht="15.75" customHeight="1"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0:18" ht="15.75" customHeight="1"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0:18" ht="15.75" customHeight="1"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0:18" ht="15.75" customHeight="1"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0:18" ht="15.75" customHeight="1"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0:18" ht="15.75" customHeight="1"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0:18" ht="15.75" customHeight="1"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0:18" ht="15.75" customHeight="1"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0:18" ht="15.75" customHeight="1"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0:18" ht="15.75" customHeight="1"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0:18" ht="15.75" customHeight="1"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0:18" ht="15.75" customHeight="1"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0:18" ht="15.75" customHeight="1"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0:18" ht="15.75" customHeight="1"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0:18" ht="15.75" customHeight="1"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0:18" ht="15.75" customHeight="1"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0:18" ht="15.75" customHeight="1"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0:18" ht="15.75" customHeight="1"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0:18" ht="15.75" customHeight="1"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0:18" ht="15.75" customHeight="1"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0:18" ht="15.75" customHeight="1"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0:18" ht="15.75" customHeight="1"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0:18" ht="15.75" customHeight="1"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0:18" ht="15.75" customHeight="1"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0:18" ht="15.75" customHeight="1"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0:18" ht="15.75" customHeight="1"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0:18" ht="15.75" customHeight="1"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0:18" ht="15.75" customHeight="1"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0:18" ht="15.75" customHeight="1"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0:18" ht="15.75" customHeight="1"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0:18" ht="15.75" customHeight="1"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0:18" ht="15.75" customHeight="1"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0:18" ht="15.75" customHeight="1"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0:18" ht="15.75" customHeight="1"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0:18" ht="15.75" customHeight="1"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0:18" ht="15.75" customHeight="1"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0:18" ht="15.75" customHeight="1"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0:18" ht="15.75" customHeight="1"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0:18" ht="15.75" customHeight="1"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0:18" ht="15.75" customHeight="1"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0:18" ht="15.75" customHeight="1"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0:18" ht="15.75" customHeight="1"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0:18" ht="15.75" customHeight="1"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0:18" ht="15.75" customHeight="1"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0:18" ht="15.75" customHeight="1"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0:18" ht="15.75" customHeight="1"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0:18" ht="15.75" customHeight="1"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0:18" ht="15.75" customHeight="1"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0:18" ht="15.75" customHeight="1"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0:18" ht="15.75" customHeight="1"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0:18" ht="15.75" customHeight="1"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0:18" ht="15.75" customHeight="1"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0:18" ht="15.75" customHeight="1"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0:18" ht="15.75" customHeight="1"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0:18" ht="15.75" customHeight="1"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0:18" ht="15.75" customHeight="1"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0:18" ht="15.75" customHeight="1"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0:18" ht="15.75" customHeight="1"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0:18" ht="15.75" customHeight="1"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0:18" ht="15.75" customHeight="1"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0:18" ht="15.75" customHeight="1"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0:18" ht="15.75" customHeight="1"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0:18" ht="15.75" customHeight="1"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0:18" ht="15.75" customHeight="1"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0:18" ht="15.75" customHeight="1"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0:18" ht="15.75" customHeight="1"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0:18" ht="15.75" customHeight="1"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0:18" ht="15.75" customHeight="1"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0:18" ht="15.75" customHeight="1"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0:18" ht="15.75" customHeight="1"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0:18" ht="15.75" customHeight="1"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0:18" ht="15.75" customHeight="1"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0:18" ht="15.75" customHeight="1"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0:18" ht="15.75" customHeight="1"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0:18" ht="15.75" customHeight="1"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0:18" ht="15.75" customHeight="1"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0:18" ht="15.75" customHeight="1"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0:18" ht="15.75" customHeight="1"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0:18" ht="15.75" customHeight="1"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0:18" ht="15.75" customHeight="1"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0:18" ht="15.75" customHeight="1"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0:18" ht="15.75" customHeight="1"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0:18" ht="15.75" customHeight="1"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0:18" ht="15.75" customHeight="1"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0:18" ht="15.75" customHeight="1"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0:18" ht="15.75" customHeight="1"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0:18" ht="15.75" customHeight="1"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0:18" ht="15.75" customHeight="1"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0:18" ht="15.75" customHeight="1"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0:18" ht="15.75" customHeight="1"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0:18" ht="15.75" customHeight="1"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0:18" ht="15.75" customHeight="1"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0:18" ht="15.75" customHeight="1"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0:18" ht="15.75" customHeight="1"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0:18" ht="15.75" customHeight="1"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0:18" ht="15.75" customHeight="1"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0:18" ht="15.75" customHeight="1"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0:18" ht="15.75" customHeight="1"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0:18" ht="15.75" customHeight="1"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0:18" ht="15.75" customHeight="1"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0:18" ht="15.75" customHeight="1"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0:18" ht="15.75" customHeight="1"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0:18" ht="15.75" customHeight="1"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0:18" ht="15.75" customHeight="1"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0:18" ht="15.75" customHeight="1"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0:18" ht="15.75" customHeight="1"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0:18" ht="15.75" customHeight="1"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0:18" ht="15.75" customHeight="1"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0:18" ht="15.75" customHeight="1"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0:18" ht="15.75" customHeight="1"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0:18" ht="15.75" customHeight="1"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0:18" ht="15.75" customHeight="1"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0:18" ht="15.75" customHeight="1"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0:18" ht="15.75" customHeight="1"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0:18" ht="15.75" customHeight="1"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0:18" ht="15.75" customHeight="1"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0:18" ht="15.75" customHeight="1"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0:18" ht="15.75" customHeight="1"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0:18" ht="15.75" customHeight="1"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0:18" ht="15.75" customHeight="1"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0:18" ht="15.75" customHeight="1"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0:18" ht="15.75" customHeight="1"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0:18" ht="15.75" customHeight="1"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0:18" ht="15.75" customHeight="1"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0:18" ht="15.75" customHeight="1"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0:18" ht="15.75" customHeight="1"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0:18" ht="15.75" customHeight="1"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0:18" ht="15.75" customHeight="1"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0:18" ht="15.75" customHeight="1"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0:18" ht="15.75" customHeight="1"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0:18" ht="15.75" customHeight="1"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0:18" ht="15.75" customHeight="1"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0:18" ht="15.75" customHeight="1"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0:18" ht="15.75" customHeight="1"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0:18" ht="15.75" customHeight="1"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0:18" ht="15.75" customHeight="1"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0:18" ht="15.75" customHeight="1"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0:18" ht="15.75" customHeight="1"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0:18" ht="15.75" customHeight="1"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0:18" ht="15.75" customHeight="1"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0:18" ht="15.75" customHeight="1"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0:18" ht="15.75" customHeight="1"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0:18" ht="15.75" customHeight="1"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0:18" ht="15.75" customHeight="1"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0:18" ht="15.75" customHeight="1"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0:18" ht="15.75" customHeight="1"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0:18" ht="15.75" customHeight="1"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0:18" ht="15.75" customHeight="1"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0:18" ht="15.75" customHeight="1"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0:18" ht="15.75" customHeight="1"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0:18" ht="15.75" customHeight="1"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0:18" ht="15.75" customHeight="1"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0:18" ht="15.75" customHeight="1"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0:18" ht="15.75" customHeight="1"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0:18" ht="15.75" customHeight="1"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0:18" ht="15.75" customHeight="1"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0:18" ht="15.75" customHeight="1"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0:18" ht="15.75" customHeight="1"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0:18" ht="15.75" customHeight="1"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0:18" ht="15.75" customHeight="1"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0:18" ht="15.75" customHeight="1"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0:18" ht="15.75" customHeight="1"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0:18" ht="15.75" customHeight="1"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0:18" ht="15.75" customHeight="1"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0:18" ht="15.75" customHeight="1"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0:18" ht="15.75" customHeight="1"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0:18" ht="15.75" customHeight="1"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0:18" ht="15.75" customHeight="1"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0:18" ht="15.75" customHeight="1"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0:18" ht="15.75" customHeight="1"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0:18" ht="15.75" customHeight="1"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0:18" ht="15.75" customHeight="1"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0:18" ht="15.75" customHeight="1"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0:18" ht="15.75" customHeight="1"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0:18" ht="15.75" customHeight="1"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0:18" ht="15.75" customHeight="1"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0:18" ht="15.75" customHeight="1"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0:18" ht="15.75" customHeight="1"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0:18" ht="15.75" customHeight="1"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0:18" ht="15.75" customHeight="1"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0:18" ht="15.75" customHeight="1"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0:18" ht="15.75" customHeight="1"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0:18" ht="15.75" customHeight="1"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0:18" ht="15.75" customHeight="1"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0:18" ht="15.75" customHeight="1"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0:18" ht="15.75" customHeight="1"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0:18" ht="15.75" customHeight="1"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0:18" ht="15.75" customHeight="1"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0:18" ht="15.75" customHeight="1"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0:18" ht="15.75" customHeight="1"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0:18" ht="15.75" customHeight="1"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0:18" ht="15.75" customHeight="1"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0:18" ht="15.75" customHeight="1"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0:18" ht="15.75" customHeight="1"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0:18" ht="15.75" customHeight="1"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0:18" ht="15.75" customHeight="1"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0:18" ht="15.75" customHeight="1"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0:18" ht="15.75" customHeight="1"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0:18" ht="15.75" customHeight="1"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0:18" ht="15.75" customHeight="1"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0:18" ht="15.75" customHeight="1"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0:18" ht="15.75" customHeight="1"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0:18" ht="15.75" customHeight="1"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0:18" ht="15.75" customHeight="1"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0:18" ht="15.75" customHeight="1"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0:18" ht="15.75" customHeight="1"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0:18" ht="15.75" customHeight="1"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0:18" ht="15.75" customHeight="1"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0:18" ht="15.75" customHeight="1"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0:18" ht="15.75" customHeight="1"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0:18" ht="15.75" customHeight="1"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0:18" ht="15.75" customHeight="1"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0:18" ht="15.75" customHeight="1"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0:18" ht="15.75" customHeight="1"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0:18" ht="15.75" customHeight="1"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0:18" ht="15.75" customHeight="1"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0:18" ht="15.75" customHeight="1"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0:18" ht="15.75" customHeight="1"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0:18" ht="15.75" customHeight="1"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0:18" ht="15.75" customHeight="1"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0:18" ht="15.75" customHeight="1"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0:18" ht="15.75" customHeight="1"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0:18" ht="15.75" customHeight="1"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0:18" ht="15.75" customHeight="1"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0:18" ht="15.75" customHeight="1"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0:18" ht="15.75" customHeight="1"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0:18" ht="15.75" customHeight="1"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0:18" ht="15.75" customHeight="1"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0:18" ht="15.75" customHeight="1"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0:18" ht="15.75" customHeight="1"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0:18" ht="15.75" customHeight="1"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0:18" ht="15.75" customHeight="1"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0:18" ht="15.75" customHeight="1"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0:18" ht="15.75" customHeight="1"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0:18" ht="15.75" customHeight="1"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0:18" ht="15.75" customHeight="1"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0:18" ht="15.75" customHeight="1"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0:18" ht="15.75" customHeight="1"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0:18" ht="15.75" customHeight="1"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0:18" ht="15.75" customHeight="1"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0:18" ht="15.75" customHeight="1"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0:18" ht="15.75" customHeight="1"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0:18" ht="15.75" customHeight="1"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0:18" ht="15.75" customHeight="1"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0:18" ht="15.75" customHeight="1"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0:18" ht="15.75" customHeight="1"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0:18" ht="15.75" customHeight="1"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0:18" ht="15.75" customHeight="1"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0:18" ht="15.75" customHeight="1"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0:18" ht="15.75" customHeight="1"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0:18" ht="15.75" customHeight="1"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0:18" ht="15.75" customHeight="1"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0:18" ht="15.75" customHeight="1"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0:18" ht="15.75" customHeight="1"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0:18" ht="15.75" customHeight="1"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0:18" ht="15.75" customHeight="1"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0:18" ht="15.75" customHeight="1"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0:18" ht="15.75" customHeight="1"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0:18" ht="15.75" customHeight="1"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0:18" ht="15.75" customHeight="1"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0:18" ht="15.75" customHeight="1"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0:18" ht="15.75" customHeight="1"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0:18" ht="15.75" customHeight="1"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0:18" ht="15.75" customHeight="1"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0:18" ht="15.75" customHeight="1"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0:18" ht="15.75" customHeight="1"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0:18" ht="15.75" customHeight="1"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0:18" ht="15.75" customHeight="1"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0:18" ht="15.75" customHeight="1"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0:18" ht="15.75" customHeight="1"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0:18" ht="15.75" customHeight="1"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0:18" ht="15.75" customHeight="1"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0:18" ht="15.75" customHeight="1"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0:18" ht="15.75" customHeight="1"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0:18" ht="15.75" customHeight="1"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0:18" ht="15.75" customHeight="1"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0:18" ht="15.75" customHeight="1"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0:18" ht="15.75" customHeight="1"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0:18" ht="15.75" customHeight="1"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0:18" ht="15.75" customHeight="1"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0:18" ht="15.75" customHeight="1"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0:18" ht="15.75" customHeight="1"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0:18" ht="15.75" customHeight="1"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0:18" ht="15.75" customHeight="1"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0:18" ht="15.75" customHeight="1"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0:18" ht="15.75" customHeight="1"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0:18" ht="15.75" customHeight="1"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0:18" ht="15.75" customHeight="1"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0:18" ht="15.75" customHeight="1"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0:18" ht="15.75" customHeight="1"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0:18" ht="15.75" customHeight="1"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0:18" ht="15.75" customHeight="1"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0:18" ht="15.75" customHeight="1"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0:18" ht="15.75" customHeight="1"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0:18" ht="15.75" customHeight="1"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0:18" ht="15.75" customHeight="1"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0:18" ht="15.75" customHeight="1"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0:18" ht="15.75" customHeight="1"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0:18" ht="15.75" customHeight="1"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0:18" ht="15.75" customHeight="1"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0:18" ht="15.75" customHeight="1"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0:18" ht="15.75" customHeight="1"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0:18" ht="15.75" customHeight="1"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0:18" ht="15.75" customHeight="1"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0:18" ht="15.75" customHeight="1"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0:18" ht="15.75" customHeight="1"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0:18" ht="15.75" customHeight="1"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0:18" ht="15.75" customHeight="1"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0:18" ht="15.75" customHeight="1"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0:18" ht="15.75" customHeight="1"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0:18" ht="15.75" customHeight="1"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0:18" ht="15.75" customHeight="1"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0:18" ht="15.75" customHeight="1"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0:18" ht="15.75" customHeight="1"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0:18" ht="15.75" customHeight="1"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0:18" ht="15.75" customHeight="1"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0:18" ht="15.75" customHeight="1"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0:18" ht="15.75" customHeight="1"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0:18" ht="15.75" customHeight="1"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0:18" ht="15.75" customHeight="1"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0:18" ht="15.75" customHeight="1"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0:18" ht="15.75" customHeight="1"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0:18" ht="15.75" customHeight="1"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0:18" ht="15.75" customHeight="1"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0:18" ht="15.75" customHeight="1"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0:18" ht="15.75" customHeight="1"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0:18" ht="15.75" customHeight="1"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0:18" ht="15.75" customHeight="1"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0:18" ht="15.75" customHeight="1"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0:18" ht="15.75" customHeight="1"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0:18" ht="15.75" customHeight="1"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0:18" ht="15.75" customHeight="1"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0:18" ht="15.75" customHeight="1"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0:18" ht="15.75" customHeight="1"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0:18" ht="15.75" customHeight="1"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0:18" ht="15.75" customHeight="1"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0:18" ht="15.75" customHeight="1"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0:18" ht="15.75" customHeight="1"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0:18" ht="15.75" customHeight="1"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0:18" ht="15.75" customHeight="1"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0:18" ht="15.75" customHeight="1"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0:18" ht="15.75" customHeight="1"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0:18" ht="15.75" customHeight="1"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0:18" ht="15.75" customHeight="1"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0:18" ht="15.75" customHeight="1"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0:18" ht="15.75" customHeight="1"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0:18" ht="15.75" customHeight="1"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0:18" ht="15.75" customHeight="1"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0:18" ht="15.75" customHeight="1"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0:18" ht="15.75" customHeight="1"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0:18" ht="15.75" customHeight="1"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0:18" ht="15.75" customHeight="1"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0:18" ht="15.75" customHeight="1"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0:18" ht="15.75" customHeight="1"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0:18" ht="15.75" customHeight="1"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0:18" ht="15.75" customHeight="1"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0:18" ht="15.75" customHeight="1"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0:18" ht="15.75" customHeight="1"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0:18" ht="15.75" customHeight="1"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0:18" ht="15.75" customHeight="1"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0:18" ht="15.75" customHeight="1"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0:18" ht="15.75" customHeight="1"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0:18" ht="15.75" customHeight="1"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0:18" ht="15.75" customHeight="1"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0:18" ht="15.75" customHeight="1"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0:18" ht="15.75" customHeight="1"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0:18" ht="15.75" customHeight="1"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0:18" ht="15.75" customHeight="1"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0:18" ht="15.75" customHeight="1"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0:18" ht="15.75" customHeight="1"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0:18" ht="15.75" customHeight="1"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0:18" ht="15.75" customHeight="1"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0:18" ht="15.75" customHeight="1"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0:18" ht="15.75" customHeight="1"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0:18" ht="15.75" customHeight="1"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0:18" ht="15.75" customHeight="1"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0:18" ht="15.75" customHeight="1"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0:18" ht="15.75" customHeight="1"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0:18" ht="15.75" customHeight="1"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0:18" ht="15.75" customHeight="1"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0:18" ht="15.75" customHeight="1"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0:18" ht="15.75" customHeight="1"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0:18" ht="15.75" customHeight="1"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0:18" ht="15.75" customHeight="1"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0:18" ht="15.75" customHeight="1"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0:18" ht="15.75" customHeight="1"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0:18" ht="15.75" customHeight="1"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0:18" ht="15.75" customHeight="1"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0:18" ht="15.75" customHeight="1"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0:18" ht="15.75" customHeight="1"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0:18" ht="15.75" customHeight="1"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0:18" ht="15.75" customHeight="1"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0:18" ht="15.75" customHeight="1"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0:18" ht="15.75" customHeight="1"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0:18" ht="15.75" customHeight="1"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0:18" ht="15.75" customHeight="1"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0:18" ht="15.75" customHeight="1"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0:18" ht="15.75" customHeight="1"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0:18" ht="15.75" customHeight="1"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0:18" ht="15.75" customHeight="1"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0:18" ht="15.75" customHeight="1"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0:18" ht="15.75" customHeight="1"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0:18" ht="15.75" customHeight="1"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0:18" ht="15.75" customHeight="1"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0:18" ht="15.75" customHeight="1"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0:18" ht="15.75" customHeight="1"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0:18" ht="15.75" customHeight="1"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0:18" ht="15.75" customHeight="1"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0:18" ht="15.75" customHeight="1"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0:18" ht="15.75" customHeight="1"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0:18" ht="15.75" customHeight="1"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0:18" ht="15.75" customHeight="1"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0:18" ht="15.75" customHeight="1"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0:18" ht="15.75" customHeight="1"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0:18" ht="15.75" customHeight="1"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0:18" ht="15.75" customHeight="1"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0:18" ht="15.75" customHeight="1"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0:18" ht="15.75" customHeight="1"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0:18" ht="15.75" customHeight="1"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0:18" ht="15.75" customHeight="1"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0:18" ht="15.75" customHeight="1"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0:18" ht="15.75" customHeight="1"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0:18" ht="15.75" customHeight="1"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0:18" ht="15.75" customHeight="1"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0:18" ht="15.75" customHeight="1"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0:18" ht="15.75" customHeight="1"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0:18" ht="15.75" customHeight="1"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0:18" ht="15.75" customHeight="1"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0:18" ht="15.75" customHeight="1"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0:18" ht="15.75" customHeight="1"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0:18" ht="15.75" customHeight="1"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0:18" ht="15.75" customHeight="1"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0:18" ht="15.75" customHeight="1"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0:18" ht="15.75" customHeight="1"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0:18" ht="15.75" customHeight="1"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0:18" ht="15.75" customHeight="1"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0:18" ht="15.75" customHeight="1"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0:18" ht="15.75" customHeight="1"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0:18" ht="15.75" customHeight="1"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0:18" ht="15.75" customHeight="1"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0:18" ht="15.75" customHeight="1"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0:18" ht="15.75" customHeight="1"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0:18" ht="15.75" customHeight="1"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0:18" ht="15.75" customHeight="1"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0:18" ht="15.75" customHeight="1"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0:18" ht="15.75" customHeight="1"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0:18" ht="15.75" customHeight="1"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0:18" ht="15.75" customHeight="1"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0:18" ht="15.75" customHeight="1"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0:18" ht="15.75" customHeight="1"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0:18" ht="15.75" customHeight="1"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0:18" ht="15.75" customHeight="1"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0:18" ht="15.75" customHeight="1"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0:18" ht="15.75" customHeight="1"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0:18" ht="15.75" customHeight="1"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0:18" ht="15.75" customHeight="1"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0:18" ht="15.75" customHeight="1"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0:18" ht="15.75" customHeight="1"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0:18" ht="15.75" customHeight="1"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0:18" ht="15.75" customHeight="1"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0:18" ht="15.75" customHeight="1"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0:18" ht="15.75" customHeight="1"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0:18" ht="15.75" customHeight="1"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0:18" ht="15.75" customHeight="1"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0:18" ht="15.75" customHeight="1"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0:18" ht="15.75" customHeight="1"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0:18" ht="15.75" customHeight="1"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0:18" ht="15.75" customHeight="1"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0:18" ht="15.75" customHeight="1"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0:18" ht="15.75" customHeight="1"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0:18" ht="15.75" customHeight="1"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0:18" ht="15.75" customHeight="1"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0:18" ht="15.75" customHeight="1"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0:18" ht="15.75" customHeight="1"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0:18" ht="15.75" customHeight="1"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0:18" ht="15.75" customHeight="1"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0:18" ht="15.75" customHeight="1"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0:18" ht="15.75" customHeight="1"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0:18" ht="15.75" customHeight="1"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0:18" ht="15.75" customHeight="1"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0:18" ht="15.75" customHeight="1"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0:18" ht="15.75" customHeight="1"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0:18" ht="15.75" customHeight="1"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0:18" ht="15.75" customHeight="1"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0:18" ht="15.75" customHeight="1"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0:18" ht="15.75" customHeight="1"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0:18" ht="15.75" customHeight="1"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0:18" ht="15.75" customHeight="1"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0:18" ht="15.75" customHeight="1"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0:18" ht="15.75" customHeight="1"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0:18" ht="15.75" customHeight="1"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0:18" ht="15.75" customHeight="1"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0:18" ht="15.75" customHeight="1"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0:18" ht="15.75" customHeight="1"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0:18" ht="15.75" customHeight="1"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0:18" ht="15.75" customHeight="1"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0:18" ht="15.75" customHeight="1"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0:18" ht="15.75" customHeight="1"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0:18" ht="15.75" customHeight="1"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0:18" ht="15.75" customHeight="1"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0:18" ht="15.75" customHeight="1"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0:18" ht="15.75" customHeight="1"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0:18" ht="15.75" customHeight="1"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0:18" ht="15.75" customHeight="1"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0:18" ht="15.75" customHeight="1"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0:18" ht="15.75" customHeight="1"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0:18" ht="15.75" customHeight="1"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0:18" ht="15.75" customHeight="1"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0:18" ht="15.75" customHeight="1"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0:18" ht="15.75" customHeight="1"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0:18" ht="15.75" customHeight="1"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0:18" ht="15.75" customHeight="1"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0:18" ht="15.75" customHeight="1"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0:18" ht="15.75" customHeight="1"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0:18" ht="15.75" customHeight="1">
      <c r="J993" s="40"/>
      <c r="K993" s="40"/>
      <c r="L993" s="40"/>
      <c r="M993" s="40"/>
      <c r="N993" s="40"/>
      <c r="O993" s="40"/>
      <c r="P993" s="40"/>
      <c r="Q993" s="40"/>
      <c r="R993" s="40"/>
    </row>
    <row r="994" spans="10:18" ht="15.75" customHeight="1">
      <c r="J994" s="40"/>
      <c r="K994" s="40"/>
      <c r="L994" s="40"/>
      <c r="M994" s="40"/>
      <c r="N994" s="40"/>
      <c r="O994" s="40"/>
      <c r="P994" s="40"/>
      <c r="Q994" s="40"/>
      <c r="R994" s="40"/>
    </row>
    <row r="995" spans="10:18" ht="15.75" customHeight="1">
      <c r="J995" s="40"/>
      <c r="K995" s="40"/>
      <c r="L995" s="40"/>
      <c r="M995" s="40"/>
      <c r="N995" s="40"/>
      <c r="O995" s="40"/>
      <c r="P995" s="40"/>
      <c r="Q995" s="40"/>
      <c r="R995" s="40"/>
    </row>
    <row r="996" spans="10:18" ht="15.75" customHeight="1">
      <c r="J996" s="40"/>
      <c r="K996" s="40"/>
      <c r="L996" s="40"/>
      <c r="M996" s="40"/>
      <c r="N996" s="40"/>
      <c r="O996" s="40"/>
      <c r="P996" s="40"/>
      <c r="Q996" s="40"/>
      <c r="R996" s="40"/>
    </row>
    <row r="997" spans="10:18" ht="15.75" customHeight="1">
      <c r="J997" s="40"/>
      <c r="K997" s="40"/>
      <c r="L997" s="40"/>
      <c r="M997" s="40"/>
      <c r="N997" s="40"/>
      <c r="O997" s="40"/>
      <c r="P997" s="40"/>
      <c r="Q997" s="40"/>
      <c r="R997" s="40"/>
    </row>
    <row r="998" spans="10:18" ht="15.75" customHeight="1">
      <c r="J998" s="40"/>
      <c r="K998" s="40"/>
      <c r="L998" s="40"/>
      <c r="M998" s="40"/>
      <c r="N998" s="40"/>
      <c r="O998" s="40"/>
      <c r="P998" s="40"/>
      <c r="Q998" s="40"/>
      <c r="R998" s="40"/>
    </row>
    <row r="999" spans="10:18" ht="15.75" customHeight="1">
      <c r="J999" s="40"/>
      <c r="K999" s="40"/>
      <c r="L999" s="40"/>
      <c r="M999" s="40"/>
      <c r="N999" s="40"/>
      <c r="O999" s="40"/>
      <c r="P999" s="40"/>
      <c r="Q999" s="40"/>
      <c r="R999" s="40"/>
    </row>
    <row r="1000" spans="10:18" ht="15.75" customHeight="1">
      <c r="J1000" s="40"/>
      <c r="K1000" s="40"/>
      <c r="L1000" s="40"/>
      <c r="M1000" s="40"/>
      <c r="N1000" s="40"/>
      <c r="O1000" s="40"/>
      <c r="P1000" s="40"/>
      <c r="Q1000" s="40"/>
      <c r="R1000" s="40"/>
    </row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Z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45" customWidth="1"/>
    <col min="5" max="7" width="8.625" customWidth="1"/>
    <col min="8" max="9" width="2.125" customWidth="1"/>
    <col min="10" max="10" width="11.875" customWidth="1"/>
    <col min="11" max="13" width="11.75" customWidth="1"/>
    <col min="14" max="15" width="14.625" customWidth="1"/>
    <col min="16" max="18" width="14.25" customWidth="1"/>
    <col min="19" max="20" width="9.75" customWidth="1"/>
    <col min="21" max="26" width="8.625" customWidth="1"/>
  </cols>
  <sheetData>
    <row r="1" spans="1:26" ht="7.5" customHeight="1">
      <c r="J1" s="40"/>
      <c r="K1" s="40"/>
      <c r="L1" s="40"/>
      <c r="M1" s="40"/>
      <c r="N1" s="40"/>
      <c r="O1" s="40"/>
      <c r="P1" s="40"/>
      <c r="Q1" s="40"/>
      <c r="R1" s="40"/>
    </row>
    <row r="2" spans="1:26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41"/>
      <c r="K2" s="41"/>
      <c r="L2" s="41"/>
      <c r="M2" s="41"/>
      <c r="N2" s="41"/>
      <c r="O2" s="41"/>
      <c r="P2" s="41"/>
      <c r="Q2" s="41"/>
      <c r="R2" s="41"/>
      <c r="S2" s="1"/>
    </row>
    <row r="3" spans="1:26" ht="18">
      <c r="A3" s="1"/>
      <c r="B3" s="1"/>
      <c r="C3" s="3" t="s">
        <v>225</v>
      </c>
      <c r="D3" s="1"/>
      <c r="E3" s="1"/>
      <c r="F3" s="1"/>
      <c r="G3" s="1"/>
      <c r="H3" s="1"/>
      <c r="I3" s="1"/>
      <c r="J3" s="41"/>
      <c r="K3" s="41"/>
      <c r="L3" s="41"/>
      <c r="M3" s="41"/>
      <c r="N3" s="41"/>
      <c r="O3" s="41"/>
      <c r="P3" s="41"/>
      <c r="Q3" s="41"/>
      <c r="R3" s="41"/>
      <c r="S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41"/>
      <c r="K4" s="41"/>
      <c r="L4" s="41"/>
      <c r="M4" s="41"/>
      <c r="N4" s="41"/>
      <c r="O4" s="41"/>
      <c r="P4" s="41"/>
      <c r="Q4" s="41"/>
      <c r="R4" s="41"/>
      <c r="S4" s="1"/>
    </row>
    <row r="5" spans="1:26">
      <c r="D5" s="42" t="str">
        <f>"Balance sheet check: " &amp;BSCheck</f>
        <v>Balance sheet check: OK</v>
      </c>
      <c r="I5" s="43" t="s">
        <v>56</v>
      </c>
      <c r="J5" s="44"/>
      <c r="K5" s="44">
        <f t="shared" ref="K5:R5" si="0">J6+1</f>
        <v>44562</v>
      </c>
      <c r="L5" s="44">
        <f t="shared" si="0"/>
        <v>44927</v>
      </c>
      <c r="M5" s="44">
        <f t="shared" si="0"/>
        <v>45292</v>
      </c>
      <c r="N5" s="44">
        <f t="shared" si="0"/>
        <v>45658</v>
      </c>
      <c r="O5" s="44">
        <f t="shared" si="0"/>
        <v>46023</v>
      </c>
      <c r="P5" s="44">
        <f t="shared" si="0"/>
        <v>46388</v>
      </c>
      <c r="Q5" s="44">
        <f t="shared" si="0"/>
        <v>46753</v>
      </c>
      <c r="R5" s="44">
        <f t="shared" si="0"/>
        <v>47119</v>
      </c>
      <c r="S5" s="9"/>
      <c r="T5" s="9"/>
    </row>
    <row r="6" spans="1:26">
      <c r="D6" s="42" t="str">
        <f t="array" ref="D6">livescenario</f>
        <v>Live Scenario: Base case</v>
      </c>
      <c r="I6" s="43" t="s">
        <v>57</v>
      </c>
      <c r="J6" s="45">
        <f>Guide!E14-1</f>
        <v>44561</v>
      </c>
      <c r="K6" s="44">
        <f t="shared" ref="K6:R6" si="1">EOMONTH(K5,11)</f>
        <v>44926</v>
      </c>
      <c r="L6" s="44">
        <f t="shared" si="1"/>
        <v>45291</v>
      </c>
      <c r="M6" s="44">
        <f t="shared" si="1"/>
        <v>45657</v>
      </c>
      <c r="N6" s="44">
        <f t="shared" si="1"/>
        <v>46022</v>
      </c>
      <c r="O6" s="44">
        <f t="shared" si="1"/>
        <v>46387</v>
      </c>
      <c r="P6" s="44">
        <f t="shared" si="1"/>
        <v>46752</v>
      </c>
      <c r="Q6" s="44">
        <f t="shared" si="1"/>
        <v>47118</v>
      </c>
      <c r="R6" s="44">
        <f t="shared" si="1"/>
        <v>47483</v>
      </c>
      <c r="S6" s="9"/>
      <c r="T6" s="9"/>
    </row>
    <row r="7" spans="1:26" ht="6" customHeight="1">
      <c r="J7" s="40"/>
      <c r="K7" s="40"/>
      <c r="L7" s="40"/>
      <c r="M7" s="40"/>
      <c r="N7" s="40"/>
      <c r="O7" s="40"/>
      <c r="P7" s="40"/>
      <c r="Q7" s="40"/>
      <c r="R7" s="40"/>
    </row>
    <row r="8" spans="1:26" ht="14.25">
      <c r="A8" s="18"/>
      <c r="B8" s="18"/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18"/>
      <c r="I8" s="18"/>
      <c r="J8" s="46"/>
      <c r="K8" s="46" t="s">
        <v>62</v>
      </c>
      <c r="L8" s="46" t="s">
        <v>62</v>
      </c>
      <c r="M8" s="46" t="s">
        <v>62</v>
      </c>
      <c r="N8" s="46" t="s">
        <v>62</v>
      </c>
      <c r="O8" s="46" t="s">
        <v>63</v>
      </c>
      <c r="P8" s="46" t="s">
        <v>63</v>
      </c>
      <c r="Q8" s="46" t="s">
        <v>63</v>
      </c>
      <c r="R8" s="46" t="s">
        <v>63</v>
      </c>
      <c r="S8" s="18"/>
      <c r="T8" s="18"/>
      <c r="U8" s="18"/>
      <c r="V8" s="18"/>
      <c r="W8" s="18"/>
      <c r="X8" s="18"/>
      <c r="Y8" s="18"/>
      <c r="Z8" s="18"/>
    </row>
    <row r="9" spans="1:26" ht="14.25">
      <c r="J9" s="40"/>
      <c r="K9" s="40"/>
      <c r="L9" s="40"/>
      <c r="M9" s="40"/>
      <c r="N9" s="40"/>
      <c r="O9" s="40"/>
      <c r="P9" s="40"/>
      <c r="Q9" s="40"/>
      <c r="R9" s="40"/>
    </row>
    <row r="10" spans="1:26" ht="20.25">
      <c r="B10" s="47" t="s">
        <v>226</v>
      </c>
      <c r="C10" s="47"/>
      <c r="D10" s="47"/>
      <c r="E10" s="47"/>
      <c r="F10" s="47"/>
      <c r="G10" s="47"/>
      <c r="H10" s="47"/>
      <c r="I10" s="47"/>
      <c r="J10" s="48"/>
      <c r="K10" s="48"/>
      <c r="L10" s="48"/>
      <c r="M10" s="48"/>
      <c r="N10" s="48"/>
      <c r="O10" s="48"/>
      <c r="P10" s="48"/>
      <c r="Q10" s="48"/>
      <c r="R10" s="48"/>
    </row>
    <row r="11" spans="1:26" ht="18">
      <c r="C11" s="49" t="s">
        <v>169</v>
      </c>
      <c r="D11" s="49"/>
      <c r="E11" s="49"/>
      <c r="F11" s="49"/>
      <c r="G11" s="49"/>
      <c r="H11" s="49"/>
      <c r="I11" s="49"/>
      <c r="J11" s="50"/>
      <c r="K11" s="50"/>
      <c r="L11" s="50"/>
      <c r="M11" s="50"/>
      <c r="N11" s="50"/>
      <c r="O11" s="50"/>
      <c r="P11" s="50"/>
      <c r="Q11" s="50"/>
      <c r="R11" s="50"/>
    </row>
    <row r="12" spans="1:26" ht="14.25">
      <c r="D12" s="6" t="s">
        <v>227</v>
      </c>
      <c r="E12" s="25" t="str">
        <f>currency</f>
        <v>(₦'000)</v>
      </c>
      <c r="J12" s="40"/>
      <c r="K12" s="40"/>
      <c r="L12" s="40"/>
      <c r="M12" s="40"/>
      <c r="N12" s="79">
        <f>'P or L'!N13</f>
        <v>119061254</v>
      </c>
      <c r="O12" s="62">
        <f>N12*(1+Drivers!O11)</f>
        <v>170921911.45634604</v>
      </c>
      <c r="P12" s="62">
        <f>O12*(1+Drivers!P11)</f>
        <v>234163018.6951941</v>
      </c>
      <c r="Q12" s="62">
        <f>P12*(1+Drivers!Q11)</f>
        <v>306753554.4907043</v>
      </c>
      <c r="R12" s="62">
        <f>Q12*(1+Drivers!R11)</f>
        <v>383441943.11338037</v>
      </c>
    </row>
    <row r="13" spans="1:26" ht="14.25">
      <c r="J13" s="40"/>
      <c r="K13" s="40"/>
      <c r="L13" s="40"/>
      <c r="M13" s="40"/>
      <c r="N13" s="40"/>
      <c r="O13" s="40"/>
      <c r="P13" s="40"/>
      <c r="Q13" s="40"/>
      <c r="R13" s="40"/>
    </row>
    <row r="14" spans="1:26" ht="18">
      <c r="C14" s="49" t="s">
        <v>173</v>
      </c>
      <c r="D14" s="49"/>
      <c r="E14" s="49"/>
      <c r="F14" s="49"/>
      <c r="G14" s="49"/>
      <c r="H14" s="49"/>
      <c r="I14" s="49"/>
      <c r="J14" s="50"/>
      <c r="K14" s="50"/>
      <c r="L14" s="50"/>
      <c r="M14" s="50"/>
      <c r="N14" s="50"/>
      <c r="O14" s="50"/>
      <c r="P14" s="50"/>
      <c r="Q14" s="50"/>
      <c r="R14" s="50"/>
    </row>
    <row r="15" spans="1:26" ht="14.25">
      <c r="D15" s="6" t="s">
        <v>173</v>
      </c>
      <c r="E15" s="25" t="str">
        <f>currency</f>
        <v>(₦'000)</v>
      </c>
      <c r="J15" s="40"/>
      <c r="K15" s="40"/>
      <c r="L15" s="40"/>
      <c r="M15" s="40"/>
      <c r="N15" s="79">
        <f>'P or L'!N14</f>
        <v>66296769</v>
      </c>
      <c r="O15" s="62">
        <f>O12*Drivers!O14</f>
        <v>94705341.444939122</v>
      </c>
      <c r="P15" s="62">
        <f>P12*Drivers!P14</f>
        <v>129746317.7795666</v>
      </c>
      <c r="Q15" s="62">
        <f>Q12*Drivers!Q14</f>
        <v>169967676.29123226</v>
      </c>
      <c r="R15" s="62">
        <f>R12*Drivers!R14</f>
        <v>212459595.36404034</v>
      </c>
    </row>
    <row r="16" spans="1:26" ht="14.25">
      <c r="J16" s="40"/>
      <c r="K16" s="40"/>
      <c r="L16" s="40"/>
      <c r="M16" s="40"/>
      <c r="N16" s="40"/>
      <c r="O16" s="40"/>
      <c r="P16" s="40"/>
      <c r="Q16" s="40"/>
      <c r="R16" s="40"/>
    </row>
    <row r="17" spans="2:18" ht="18">
      <c r="C17" s="49" t="s">
        <v>175</v>
      </c>
      <c r="D17" s="49"/>
      <c r="E17" s="49"/>
      <c r="F17" s="49"/>
      <c r="G17" s="49"/>
      <c r="H17" s="49"/>
      <c r="I17" s="49"/>
      <c r="J17" s="50"/>
      <c r="K17" s="50"/>
      <c r="L17" s="50"/>
      <c r="M17" s="50"/>
      <c r="N17" s="50"/>
      <c r="O17" s="50"/>
      <c r="P17" s="50"/>
      <c r="Q17" s="50"/>
      <c r="R17" s="50"/>
    </row>
    <row r="18" spans="2:18" ht="14.25">
      <c r="D18" s="6" t="s">
        <v>176</v>
      </c>
      <c r="E18" s="25" t="str">
        <f>currency</f>
        <v>(₦'000)</v>
      </c>
      <c r="J18" s="40"/>
      <c r="K18" s="40"/>
      <c r="L18" s="40"/>
      <c r="M18" s="40"/>
      <c r="N18" s="40"/>
      <c r="O18" s="62">
        <f>O12*Drivers!O17</f>
        <v>1372620.8177288007</v>
      </c>
      <c r="P18" s="62">
        <f>P12*Drivers!P17</f>
        <v>1880490.5202884574</v>
      </c>
      <c r="Q18" s="62">
        <f>Q12*Drivers!Q17</f>
        <v>2463442.5815778794</v>
      </c>
      <c r="R18" s="62">
        <f>R12*Drivers!R17</f>
        <v>3079303.226972349</v>
      </c>
    </row>
    <row r="19" spans="2:18" ht="14.25">
      <c r="D19" s="6" t="s">
        <v>228</v>
      </c>
      <c r="E19" s="25" t="str">
        <f>currency</f>
        <v>(₦'000)</v>
      </c>
      <c r="J19" s="40"/>
      <c r="K19" s="40"/>
      <c r="L19" s="40"/>
      <c r="M19" s="40"/>
      <c r="N19" s="40"/>
      <c r="O19" s="62">
        <f>O12*Drivers!O18</f>
        <v>16060368.10215239</v>
      </c>
      <c r="P19" s="62">
        <f>P12*Drivers!P18</f>
        <v>22002704.299948778</v>
      </c>
      <c r="Q19" s="62">
        <f>Q12*Drivers!Q18</f>
        <v>28823542.632932901</v>
      </c>
      <c r="R19" s="62">
        <f>R12*Drivers!R18</f>
        <v>36029428.291166127</v>
      </c>
    </row>
    <row r="20" spans="2:18" ht="14.25">
      <c r="D20" s="6" t="s">
        <v>69</v>
      </c>
      <c r="E20" s="25" t="str">
        <f>currency</f>
        <v>(₦'000)</v>
      </c>
      <c r="J20" s="40"/>
      <c r="K20" s="40"/>
      <c r="L20" s="40"/>
      <c r="M20" s="40"/>
      <c r="N20" s="40"/>
      <c r="O20" s="62">
        <f>O12*Drivers!O19</f>
        <v>21558115.651082091</v>
      </c>
      <c r="P20" s="62">
        <f>P12*Drivers!P19</f>
        <v>29534618.441982467</v>
      </c>
      <c r="Q20" s="62">
        <f>Q12*Drivers!Q19</f>
        <v>38690350.158997037</v>
      </c>
      <c r="R20" s="62">
        <f>R12*Drivers!R19</f>
        <v>48362937.698746294</v>
      </c>
    </row>
    <row r="21" spans="2:18" ht="15.75" customHeight="1">
      <c r="J21" s="40"/>
      <c r="K21" s="40"/>
      <c r="L21" s="40"/>
      <c r="M21" s="40"/>
      <c r="N21" s="40"/>
      <c r="O21" s="40"/>
      <c r="P21" s="40"/>
      <c r="Q21" s="40"/>
      <c r="R21" s="40"/>
    </row>
    <row r="22" spans="2:18" ht="15.75" customHeight="1">
      <c r="C22" s="49" t="s">
        <v>229</v>
      </c>
      <c r="D22" s="49"/>
      <c r="E22" s="49"/>
      <c r="F22" s="49"/>
      <c r="G22" s="49"/>
      <c r="H22" s="49"/>
      <c r="I22" s="49"/>
      <c r="J22" s="50"/>
      <c r="K22" s="50"/>
      <c r="L22" s="50"/>
      <c r="M22" s="50"/>
      <c r="N22" s="50"/>
      <c r="O22" s="50"/>
      <c r="P22" s="50"/>
      <c r="Q22" s="50"/>
      <c r="R22" s="50"/>
    </row>
    <row r="23" spans="2:18" ht="15.75" customHeight="1">
      <c r="D23" s="6" t="s">
        <v>230</v>
      </c>
      <c r="E23" s="25" t="str">
        <f>currency</f>
        <v>(₦'000)</v>
      </c>
      <c r="F23" s="18" t="s">
        <v>182</v>
      </c>
      <c r="J23" s="40"/>
      <c r="K23" s="40"/>
      <c r="L23" s="40"/>
      <c r="M23" s="40"/>
      <c r="N23" s="40"/>
      <c r="O23" s="62">
        <f>Drivers!O27</f>
        <v>5730479</v>
      </c>
      <c r="P23" s="62">
        <f>Drivers!P27</f>
        <v>5730479</v>
      </c>
      <c r="Q23" s="62">
        <f>Drivers!Q27</f>
        <v>5730479</v>
      </c>
      <c r="R23" s="62">
        <f>Drivers!R27</f>
        <v>5730479</v>
      </c>
    </row>
    <row r="24" spans="2:18" ht="15.75" customHeight="1">
      <c r="D24" s="6" t="s">
        <v>231</v>
      </c>
      <c r="E24" s="25" t="str">
        <f>currency</f>
        <v>(₦'000)</v>
      </c>
      <c r="F24" s="18" t="s">
        <v>182</v>
      </c>
      <c r="J24" s="40"/>
      <c r="K24" s="40"/>
      <c r="L24" s="40"/>
      <c r="M24" s="40"/>
      <c r="N24" s="40"/>
      <c r="O24" s="62">
        <f>Drivers!O28</f>
        <v>217254.5</v>
      </c>
      <c r="P24" s="62">
        <f>Drivers!P28</f>
        <v>217254.5</v>
      </c>
      <c r="Q24" s="62">
        <f>Drivers!Q28</f>
        <v>217254.5</v>
      </c>
      <c r="R24" s="62">
        <f>Drivers!R28</f>
        <v>217254.5</v>
      </c>
    </row>
    <row r="25" spans="2:18" ht="15.75" customHeight="1">
      <c r="D25" s="6" t="s">
        <v>77</v>
      </c>
      <c r="E25" s="25" t="str">
        <f>currency</f>
        <v>(₦'000)</v>
      </c>
      <c r="F25" s="18" t="s">
        <v>184</v>
      </c>
      <c r="J25" s="40"/>
      <c r="K25" s="40"/>
      <c r="L25" s="40"/>
      <c r="M25" s="40"/>
      <c r="N25" s="40"/>
      <c r="O25" s="62">
        <f>'P or L'!O28*Drivers!O31</f>
        <v>9137648.2890877258</v>
      </c>
      <c r="P25" s="62">
        <f>'P or L'!P28*Drivers!P31</f>
        <v>13675671.612176623</v>
      </c>
      <c r="Q25" s="62">
        <f>'P or L'!Q28*Drivers!Q31</f>
        <v>19216675.491512228</v>
      </c>
      <c r="R25" s="62">
        <f>'P or L'!R28*Drivers!R31</f>
        <v>25277254.18109012</v>
      </c>
    </row>
    <row r="26" spans="2:18" ht="15.75" customHeight="1">
      <c r="D26" s="6"/>
      <c r="E26" s="25"/>
      <c r="F26" s="18"/>
      <c r="J26" s="40"/>
      <c r="K26" s="40"/>
      <c r="L26" s="40"/>
      <c r="M26" s="40"/>
      <c r="N26" s="40"/>
      <c r="O26" s="40"/>
      <c r="P26" s="40"/>
      <c r="Q26" s="40"/>
      <c r="R26" s="40"/>
    </row>
    <row r="27" spans="2:18" ht="15.75" customHeight="1">
      <c r="D27" s="6" t="s">
        <v>74</v>
      </c>
      <c r="E27" s="25"/>
      <c r="F27" s="18"/>
      <c r="J27" s="40"/>
      <c r="K27" s="40"/>
      <c r="L27" s="40"/>
      <c r="M27" s="40"/>
      <c r="N27" s="40"/>
      <c r="O27" s="62">
        <f>Drivers!O30*(N58+N64+N117)</f>
        <v>7288421.1301925974</v>
      </c>
      <c r="P27" s="62">
        <f>Drivers!P30*(O58+O64+O117)</f>
        <v>9683216.4014802892</v>
      </c>
      <c r="Q27" s="62">
        <f>Drivers!Q30*(P58+P64+P117)</f>
        <v>11552746.828957649</v>
      </c>
      <c r="R27" s="62">
        <f>Drivers!R30*(Q58+Q64+Q117)</f>
        <v>12734445.593868628</v>
      </c>
    </row>
    <row r="28" spans="2:18" ht="15.75" customHeight="1">
      <c r="F28" s="18"/>
      <c r="J28" s="40"/>
      <c r="K28" s="40"/>
      <c r="L28" s="40"/>
      <c r="M28" s="40"/>
      <c r="N28" s="40"/>
      <c r="O28" s="40"/>
      <c r="P28" s="40"/>
      <c r="Q28" s="40"/>
      <c r="R28" s="40"/>
    </row>
    <row r="29" spans="2:18" ht="15.75" customHeight="1">
      <c r="B29" s="47" t="s">
        <v>232</v>
      </c>
      <c r="C29" s="47"/>
      <c r="D29" s="47"/>
      <c r="E29" s="47"/>
      <c r="F29" s="47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8"/>
      <c r="R29" s="48"/>
    </row>
    <row r="30" spans="2:18" ht="15.75" customHeight="1">
      <c r="C30" s="49" t="s">
        <v>233</v>
      </c>
      <c r="D30" s="49"/>
      <c r="E30" s="49"/>
      <c r="F30" s="49"/>
      <c r="G30" s="49"/>
      <c r="H30" s="49"/>
      <c r="I30" s="49"/>
      <c r="J30" s="50"/>
      <c r="K30" s="50"/>
      <c r="L30" s="50"/>
      <c r="M30" s="50"/>
      <c r="N30" s="50"/>
      <c r="O30" s="50"/>
      <c r="P30" s="50"/>
      <c r="Q30" s="50"/>
      <c r="R30" s="50"/>
    </row>
    <row r="31" spans="2:18" ht="15.75" customHeight="1">
      <c r="D31" s="6" t="s">
        <v>234</v>
      </c>
      <c r="E31" s="25" t="str">
        <f>currency</f>
        <v>(₦'000)</v>
      </c>
      <c r="J31" s="40"/>
      <c r="K31" s="40"/>
      <c r="L31" s="40"/>
      <c r="M31" s="40"/>
      <c r="N31" s="40"/>
      <c r="O31" s="62">
        <f>N34</f>
        <v>30937846</v>
      </c>
      <c r="P31" s="62">
        <f>O34</f>
        <v>31145306.653850254</v>
      </c>
      <c r="Q31" s="62">
        <f>P34</f>
        <v>31354158.481568784</v>
      </c>
      <c r="R31" s="62">
        <f>Q34</f>
        <v>31564410.811983474</v>
      </c>
    </row>
    <row r="32" spans="2:18" ht="15.75" customHeight="1">
      <c r="D32" s="6" t="s">
        <v>235</v>
      </c>
      <c r="E32" s="25" t="str">
        <f>currency</f>
        <v>(₦'000)</v>
      </c>
      <c r="J32" s="40"/>
      <c r="K32" s="40"/>
      <c r="L32" s="40"/>
      <c r="M32" s="40"/>
      <c r="N32" s="40"/>
      <c r="O32" s="62">
        <f>(Drivers!O35*Calculation!O33)+Drivers!O36</f>
        <v>2282067.1923527871</v>
      </c>
      <c r="P32" s="62">
        <f>(Drivers!P35*Calculation!P33)+Drivers!P36</f>
        <v>2297370.104903833</v>
      </c>
      <c r="Q32" s="62">
        <f>(Drivers!Q35*Calculation!Q33)+Drivers!Q36</f>
        <v>2312775.6345615662</v>
      </c>
      <c r="R32" s="62">
        <f>(Drivers!R35*Calculation!R33)+Drivers!R36</f>
        <v>2328284.4694479727</v>
      </c>
    </row>
    <row r="33" spans="1:26" ht="15.75" customHeight="1">
      <c r="D33" s="6" t="s">
        <v>236</v>
      </c>
      <c r="E33" s="25" t="str">
        <f>currency</f>
        <v>(₦'000)</v>
      </c>
      <c r="J33" s="40"/>
      <c r="K33" s="40"/>
      <c r="L33" s="40"/>
      <c r="M33" s="40"/>
      <c r="N33" s="40"/>
      <c r="O33" s="62">
        <f>Drivers!O22*Calculation!N34</f>
        <v>2074606.5385025337</v>
      </c>
      <c r="P33" s="62">
        <f>Drivers!P22*Calculation!O34</f>
        <v>2088518.2771853027</v>
      </c>
      <c r="Q33" s="62">
        <f>Drivers!Q22*Calculation!P34</f>
        <v>2102523.304146878</v>
      </c>
      <c r="R33" s="62">
        <f>Drivers!R22*Calculation!Q34</f>
        <v>2116622.2449527024</v>
      </c>
    </row>
    <row r="34" spans="1:26" ht="15.75" customHeight="1">
      <c r="D34" s="6" t="s">
        <v>195</v>
      </c>
      <c r="E34" s="25" t="str">
        <f>currency</f>
        <v>(₦'000)</v>
      </c>
      <c r="J34" s="40"/>
      <c r="K34" s="40"/>
      <c r="L34" s="40"/>
      <c r="M34" s="40"/>
      <c r="N34" s="79">
        <f>BS!N17</f>
        <v>30937846</v>
      </c>
      <c r="O34" s="80">
        <f>O31+O32-O33</f>
        <v>31145306.653850254</v>
      </c>
      <c r="P34" s="80">
        <f>P31+P32-P33</f>
        <v>31354158.481568784</v>
      </c>
      <c r="Q34" s="80">
        <f>Q31+Q32-Q33</f>
        <v>31564410.811983474</v>
      </c>
      <c r="R34" s="80">
        <f>R31+R32-R33</f>
        <v>31776073.036478743</v>
      </c>
    </row>
    <row r="35" spans="1:26" ht="15.75" customHeight="1">
      <c r="J35" s="40"/>
      <c r="K35" s="40"/>
      <c r="L35" s="40"/>
      <c r="M35" s="40"/>
      <c r="N35" s="40"/>
      <c r="O35" s="40"/>
      <c r="P35" s="40"/>
      <c r="Q35" s="40"/>
      <c r="R35" s="40"/>
    </row>
    <row r="36" spans="1:26" ht="15.75" customHeight="1">
      <c r="C36" s="49" t="s">
        <v>237</v>
      </c>
      <c r="D36" s="49"/>
      <c r="E36" s="49"/>
      <c r="F36" s="49"/>
      <c r="G36" s="49"/>
      <c r="H36" s="49"/>
      <c r="I36" s="49"/>
      <c r="J36" s="50"/>
      <c r="K36" s="50"/>
      <c r="L36" s="50"/>
      <c r="M36" s="50"/>
      <c r="N36" s="50"/>
      <c r="O36" s="50"/>
      <c r="P36" s="50"/>
      <c r="Q36" s="50"/>
      <c r="R36" s="50"/>
    </row>
    <row r="37" spans="1:26" ht="15.75" customHeight="1">
      <c r="D37" s="6" t="s">
        <v>234</v>
      </c>
      <c r="E37" s="25" t="str">
        <f>currency</f>
        <v>(₦'000)</v>
      </c>
      <c r="J37" s="40"/>
      <c r="K37" s="40"/>
      <c r="L37" s="40"/>
      <c r="M37" s="40"/>
      <c r="N37" s="40"/>
      <c r="O37" s="62">
        <f>N40</f>
        <v>0</v>
      </c>
      <c r="P37" s="62">
        <f>O40</f>
        <v>0</v>
      </c>
      <c r="Q37" s="62">
        <f>P40</f>
        <v>0</v>
      </c>
      <c r="R37" s="62">
        <f>Q40</f>
        <v>0</v>
      </c>
    </row>
    <row r="38" spans="1:26" ht="15.75" customHeight="1">
      <c r="D38" s="6" t="s">
        <v>235</v>
      </c>
      <c r="E38" s="25" t="str">
        <f>currency</f>
        <v>(₦'000)</v>
      </c>
      <c r="J38" s="40"/>
      <c r="K38" s="40"/>
      <c r="L38" s="40"/>
      <c r="M38" s="40"/>
      <c r="N38" s="40"/>
      <c r="O38" s="62">
        <f>(Drivers!O39*Calculation!O39)+Drivers!O40</f>
        <v>0</v>
      </c>
      <c r="P38" s="62">
        <f>(Drivers!P39*Calculation!P39)+Drivers!P40</f>
        <v>0</v>
      </c>
      <c r="Q38" s="62">
        <f>(Drivers!Q39*Calculation!Q39)+Drivers!Q40</f>
        <v>0</v>
      </c>
      <c r="R38" s="62">
        <f>(Drivers!R39*Calculation!R39)+Drivers!R40</f>
        <v>0</v>
      </c>
    </row>
    <row r="39" spans="1:26" ht="15.75" customHeight="1">
      <c r="D39" s="6" t="s">
        <v>236</v>
      </c>
      <c r="E39" s="25" t="str">
        <f>currency</f>
        <v>(₦'000)</v>
      </c>
      <c r="J39" s="40"/>
      <c r="K39" s="40"/>
      <c r="L39" s="40"/>
      <c r="M39" s="40"/>
      <c r="N39" s="40"/>
      <c r="O39" s="62">
        <f>Drivers!O23*Calculation!N40</f>
        <v>0</v>
      </c>
      <c r="P39" s="62">
        <f>Drivers!P23*Calculation!O40</f>
        <v>0</v>
      </c>
      <c r="Q39" s="62">
        <f>Drivers!Q23*Calculation!P40</f>
        <v>0</v>
      </c>
      <c r="R39" s="62">
        <f>Drivers!R23*Calculation!Q40</f>
        <v>0</v>
      </c>
    </row>
    <row r="40" spans="1:26" ht="15.75" customHeight="1">
      <c r="D40" s="6" t="s">
        <v>195</v>
      </c>
      <c r="E40" s="25" t="str">
        <f>currency</f>
        <v>(₦'000)</v>
      </c>
      <c r="J40" s="40"/>
      <c r="K40" s="40"/>
      <c r="L40" s="40"/>
      <c r="M40" s="40"/>
      <c r="N40" s="40">
        <f>BS!N18</f>
        <v>0</v>
      </c>
      <c r="O40" s="80">
        <f>O37+O38-O39</f>
        <v>0</v>
      </c>
      <c r="P40" s="80">
        <f>P37+P38-P39</f>
        <v>0</v>
      </c>
      <c r="Q40" s="80">
        <f>Q37+Q38-Q39</f>
        <v>0</v>
      </c>
      <c r="R40" s="80">
        <f>R37+R38-R39</f>
        <v>0</v>
      </c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40"/>
      <c r="K41" s="40"/>
      <c r="L41" s="40"/>
      <c r="M41" s="40"/>
      <c r="N41" s="40"/>
      <c r="O41" s="40"/>
      <c r="P41" s="40"/>
      <c r="Q41" s="40"/>
      <c r="R41" s="40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C42" s="49" t="s">
        <v>238</v>
      </c>
      <c r="D42" s="49"/>
      <c r="E42" s="49"/>
      <c r="F42" s="49"/>
      <c r="G42" s="49"/>
      <c r="H42" s="49"/>
      <c r="I42" s="49"/>
      <c r="J42" s="50"/>
      <c r="K42" s="50"/>
      <c r="L42" s="50"/>
      <c r="M42" s="50"/>
      <c r="N42" s="50"/>
      <c r="O42" s="50"/>
      <c r="P42" s="50"/>
      <c r="Q42" s="50"/>
      <c r="R42" s="50"/>
    </row>
    <row r="43" spans="1:26" ht="15.75" customHeight="1">
      <c r="D43" s="6" t="s">
        <v>234</v>
      </c>
      <c r="E43" s="25" t="str">
        <f>currency</f>
        <v>(₦'000)</v>
      </c>
      <c r="J43" s="40"/>
      <c r="K43" s="40"/>
      <c r="L43" s="40"/>
      <c r="M43" s="40"/>
      <c r="N43" s="40"/>
      <c r="O43" s="62">
        <f>N46</f>
        <v>238235</v>
      </c>
      <c r="P43" s="62">
        <f>O46</f>
        <v>343175.14539346495</v>
      </c>
      <c r="Q43" s="62">
        <f>P46</f>
        <v>494340.3799434416</v>
      </c>
      <c r="R43" s="62">
        <f>Q46</f>
        <v>712092.39516003663</v>
      </c>
    </row>
    <row r="44" spans="1:26" ht="15.75" customHeight="1">
      <c r="D44" s="6" t="s">
        <v>235</v>
      </c>
      <c r="E44" s="25" t="str">
        <f>currency</f>
        <v>(₦'000)</v>
      </c>
      <c r="J44" s="40"/>
      <c r="K44" s="40"/>
      <c r="L44" s="40"/>
      <c r="M44" s="40"/>
      <c r="N44" s="40"/>
      <c r="O44" s="62">
        <f>(Drivers!O43*Calculation!O45)+Drivers!O44</f>
        <v>1154341.599328114</v>
      </c>
      <c r="P44" s="62">
        <f>(Drivers!P43*Calculation!P45)+Drivers!P44</f>
        <v>1662817.5800497422</v>
      </c>
      <c r="Q44" s="62">
        <f>(Drivers!Q43*Calculation!Q45)+Drivers!Q44</f>
        <v>2395272.167382542</v>
      </c>
      <c r="R44" s="62">
        <f>(Drivers!R43*Calculation!R45)+Drivers!R44</f>
        <v>3450365.707383147</v>
      </c>
    </row>
    <row r="45" spans="1:26" ht="15.75" customHeight="1">
      <c r="D45" s="6" t="s">
        <v>239</v>
      </c>
      <c r="E45" s="25" t="str">
        <f>currency</f>
        <v>(₦'000)</v>
      </c>
      <c r="J45" s="40"/>
      <c r="K45" s="40"/>
      <c r="L45" s="40"/>
      <c r="M45" s="40"/>
      <c r="N45" s="40"/>
      <c r="O45" s="62">
        <f>N46*Drivers!O24</f>
        <v>1049401.453934649</v>
      </c>
      <c r="P45" s="62">
        <f>O46*Drivers!P24</f>
        <v>1511652.3454997656</v>
      </c>
      <c r="Q45" s="62">
        <f>P46*Drivers!Q24</f>
        <v>2177520.152165947</v>
      </c>
      <c r="R45" s="62">
        <f>Q46*Drivers!R24</f>
        <v>3136696.0976210423</v>
      </c>
    </row>
    <row r="46" spans="1:26" ht="15.75" customHeight="1">
      <c r="D46" s="6" t="s">
        <v>195</v>
      </c>
      <c r="E46" s="25" t="str">
        <f>currency</f>
        <v>(₦'000)</v>
      </c>
      <c r="J46" s="40"/>
      <c r="K46" s="40"/>
      <c r="L46" s="40"/>
      <c r="M46" s="40"/>
      <c r="N46" s="79">
        <f>BS!N19</f>
        <v>238235</v>
      </c>
      <c r="O46" s="80">
        <f>O43+O44-O45</f>
        <v>343175.14539346495</v>
      </c>
      <c r="P46" s="80">
        <f>P43+P44-P45</f>
        <v>494340.3799434416</v>
      </c>
      <c r="Q46" s="80">
        <f>Q43+Q44-Q45</f>
        <v>712092.39516003663</v>
      </c>
      <c r="R46" s="80">
        <f>R43+R44-R45</f>
        <v>1025762.0049221413</v>
      </c>
    </row>
    <row r="47" spans="1:26" ht="15.75" customHeight="1">
      <c r="J47" s="40"/>
      <c r="K47" s="40"/>
      <c r="L47" s="40"/>
      <c r="M47" s="40"/>
      <c r="N47" s="40"/>
      <c r="O47" s="40"/>
      <c r="P47" s="40"/>
      <c r="Q47" s="40"/>
      <c r="R47" s="40"/>
    </row>
    <row r="48" spans="1:26" ht="15.75" customHeight="1">
      <c r="C48" s="49" t="s">
        <v>100</v>
      </c>
      <c r="D48" s="49"/>
      <c r="E48" s="49"/>
      <c r="F48" s="49"/>
      <c r="G48" s="49"/>
      <c r="H48" s="49"/>
      <c r="I48" s="49"/>
      <c r="J48" s="50"/>
      <c r="K48" s="50"/>
      <c r="L48" s="50"/>
      <c r="M48" s="50"/>
      <c r="N48" s="50"/>
      <c r="O48" s="50"/>
      <c r="P48" s="50"/>
      <c r="Q48" s="50"/>
      <c r="R48" s="50"/>
    </row>
    <row r="49" spans="3:19" ht="15.75" customHeight="1">
      <c r="D49" s="6" t="s">
        <v>234</v>
      </c>
      <c r="E49" s="25" t="str">
        <f>currency</f>
        <v>(₦'000)</v>
      </c>
      <c r="J49" s="40"/>
      <c r="K49" s="40"/>
      <c r="L49" s="40"/>
      <c r="M49" s="40"/>
      <c r="N49" s="40"/>
      <c r="O49" s="62">
        <f>N52</f>
        <v>23979687</v>
      </c>
      <c r="P49" s="62">
        <f>O52</f>
        <v>34260673.128055558</v>
      </c>
      <c r="Q49" s="62">
        <f>P52</f>
        <v>49647497.580966085</v>
      </c>
      <c r="R49" s="62">
        <f>Q52</f>
        <v>71268637.715186223</v>
      </c>
    </row>
    <row r="50" spans="3:19" ht="15.75" customHeight="1">
      <c r="D50" s="6" t="s">
        <v>240</v>
      </c>
      <c r="E50" s="25" t="str">
        <f>currency</f>
        <v>(₦'000)</v>
      </c>
      <c r="J50" s="40"/>
      <c r="K50" s="40"/>
      <c r="L50" s="40"/>
      <c r="M50" s="40"/>
      <c r="N50" s="40"/>
      <c r="O50" s="62">
        <f>'P or L'!O30</f>
        <v>14652470.410174826</v>
      </c>
      <c r="P50" s="62">
        <f>'P or L'!P30</f>
        <v>21929315.650722135</v>
      </c>
      <c r="Q50" s="62">
        <f>'P or L'!Q30</f>
        <v>30814467.805416699</v>
      </c>
      <c r="R50" s="62">
        <f>'P or L'!R30</f>
        <v>40532772.461946875</v>
      </c>
    </row>
    <row r="51" spans="3:19" ht="15.75" customHeight="1">
      <c r="D51" s="6" t="s">
        <v>241</v>
      </c>
      <c r="E51" s="25" t="str">
        <f>currency</f>
        <v>(₦'000)</v>
      </c>
      <c r="J51" s="40"/>
      <c r="K51" s="40"/>
      <c r="L51" s="40"/>
      <c r="M51" s="40"/>
      <c r="N51" s="40"/>
      <c r="O51" s="62">
        <f>Drivers!O60*'P or L'!O30</f>
        <v>4371484.282119263</v>
      </c>
      <c r="P51" s="62">
        <f>Drivers!P60*'P or L'!P30</f>
        <v>6542491.1978116035</v>
      </c>
      <c r="Q51" s="62">
        <f>Drivers!Q60*'P or L'!Q30</f>
        <v>9193327.6711965688</v>
      </c>
      <c r="R51" s="62">
        <f>Drivers!R60*'P or L'!R30</f>
        <v>12092730.629578739</v>
      </c>
    </row>
    <row r="52" spans="3:19" ht="15.75" customHeight="1">
      <c r="D52" s="6" t="s">
        <v>195</v>
      </c>
      <c r="E52" s="25" t="str">
        <f>currency</f>
        <v>(₦'000)</v>
      </c>
      <c r="J52" s="40"/>
      <c r="K52" s="40"/>
      <c r="L52" s="40"/>
      <c r="M52" s="40"/>
      <c r="N52" s="79">
        <f>BS!N36</f>
        <v>23979687</v>
      </c>
      <c r="O52" s="80">
        <f>O49+O50-O51</f>
        <v>34260673.128055558</v>
      </c>
      <c r="P52" s="80">
        <f>P49+P50-P51</f>
        <v>49647497.580966085</v>
      </c>
      <c r="Q52" s="80">
        <f>Q49+Q50-Q51</f>
        <v>71268637.715186223</v>
      </c>
      <c r="R52" s="80">
        <f>R49+R50-R51</f>
        <v>99708679.547554359</v>
      </c>
    </row>
    <row r="53" spans="3:19" ht="15.75" customHeight="1">
      <c r="J53" s="40"/>
      <c r="K53" s="40"/>
      <c r="L53" s="40"/>
      <c r="M53" s="40"/>
      <c r="N53" s="40"/>
      <c r="O53" s="40"/>
      <c r="P53" s="40"/>
      <c r="Q53" s="40"/>
      <c r="R53" s="40"/>
    </row>
    <row r="54" spans="3:19" ht="15.75" customHeight="1">
      <c r="C54" s="49" t="s">
        <v>144</v>
      </c>
      <c r="D54" s="49"/>
      <c r="E54" s="49"/>
      <c r="F54" s="49"/>
      <c r="G54" s="49"/>
      <c r="H54" s="49"/>
      <c r="I54" s="49"/>
      <c r="J54" s="50"/>
      <c r="K54" s="50"/>
      <c r="L54" s="50"/>
      <c r="M54" s="50"/>
      <c r="N54" s="50"/>
      <c r="O54" s="50"/>
      <c r="P54" s="50"/>
      <c r="Q54" s="50"/>
      <c r="R54" s="50"/>
    </row>
    <row r="55" spans="3:19" ht="15.75" customHeight="1">
      <c r="D55" s="6" t="s">
        <v>234</v>
      </c>
      <c r="E55" s="25" t="str">
        <f>currency</f>
        <v>(₦'000)</v>
      </c>
      <c r="J55" s="40"/>
      <c r="K55" s="40"/>
      <c r="L55" s="40"/>
      <c r="M55" s="40"/>
      <c r="N55" s="40"/>
      <c r="O55" s="62">
        <f>N58</f>
        <v>14003303</v>
      </c>
      <c r="P55" s="62">
        <f>O58</f>
        <v>15138887</v>
      </c>
      <c r="Q55" s="62">
        <f>P58</f>
        <v>14152271.999999998</v>
      </c>
      <c r="R55" s="62">
        <f>Q58</f>
        <v>13298619.999999996</v>
      </c>
    </row>
    <row r="56" spans="3:19" ht="15.75" customHeight="1">
      <c r="D56" s="6" t="s">
        <v>242</v>
      </c>
      <c r="E56" s="25" t="str">
        <f>currency</f>
        <v>(₦'000)</v>
      </c>
      <c r="J56" s="40"/>
      <c r="K56" s="40"/>
      <c r="L56" s="40"/>
      <c r="M56" s="40"/>
      <c r="N56" s="40"/>
      <c r="O56" s="62">
        <f>Historical!O130</f>
        <v>8468339</v>
      </c>
      <c r="P56" s="62">
        <f>Historical!P130</f>
        <v>7589446.333333333</v>
      </c>
      <c r="Q56" s="62">
        <f>Historical!Q130</f>
        <v>7352595.111111111</v>
      </c>
      <c r="R56" s="62">
        <f>Historical!R130</f>
        <v>7803460.1481481483</v>
      </c>
    </row>
    <row r="57" spans="3:19" ht="15.75" customHeight="1">
      <c r="D57" s="6" t="s">
        <v>243</v>
      </c>
      <c r="E57" s="25" t="str">
        <f>currency</f>
        <v>(₦'000)</v>
      </c>
      <c r="J57" s="40"/>
      <c r="K57" s="40"/>
      <c r="L57" s="40"/>
      <c r="M57" s="40"/>
      <c r="N57" s="40"/>
      <c r="O57" s="62">
        <f>Historical!O129</f>
        <v>7332755</v>
      </c>
      <c r="P57" s="62">
        <f>Historical!P129</f>
        <v>8576061.333333334</v>
      </c>
      <c r="Q57" s="62">
        <f>Historical!Q129</f>
        <v>8206247.1111111119</v>
      </c>
      <c r="R57" s="62">
        <f>Historical!R129</f>
        <v>8038354.4814814823</v>
      </c>
    </row>
    <row r="58" spans="3:19" ht="15.75" customHeight="1">
      <c r="D58" s="6" t="s">
        <v>195</v>
      </c>
      <c r="E58" s="25" t="str">
        <f>currency</f>
        <v>(₦'000)</v>
      </c>
      <c r="J58" s="40"/>
      <c r="K58" s="40"/>
      <c r="L58" s="40"/>
      <c r="M58" s="40"/>
      <c r="N58" s="79">
        <f>BS!N42</f>
        <v>14003303</v>
      </c>
      <c r="O58" s="80">
        <f>O55+O56-O57</f>
        <v>15138887</v>
      </c>
      <c r="P58" s="80">
        <f>P55+P56-P57</f>
        <v>14152271.999999998</v>
      </c>
      <c r="Q58" s="80">
        <f>Q55+Q56-Q57</f>
        <v>13298619.999999996</v>
      </c>
      <c r="R58" s="80">
        <f>R55+R56-R57</f>
        <v>13063725.666666664</v>
      </c>
    </row>
    <row r="59" spans="3:19" ht="15.75" customHeight="1">
      <c r="J59" s="40"/>
      <c r="K59" s="40"/>
      <c r="L59" s="40"/>
      <c r="M59" s="40"/>
      <c r="N59" s="40"/>
      <c r="O59" s="40"/>
      <c r="P59" s="40"/>
      <c r="Q59" s="40"/>
      <c r="R59" s="40"/>
      <c r="S59" s="17"/>
    </row>
    <row r="60" spans="3:19" ht="15.75" customHeight="1">
      <c r="C60" s="49" t="s">
        <v>210</v>
      </c>
      <c r="D60" s="49"/>
      <c r="E60" s="49"/>
      <c r="F60" s="49"/>
      <c r="G60" s="49"/>
      <c r="H60" s="49"/>
      <c r="I60" s="49"/>
      <c r="J60" s="50"/>
      <c r="K60" s="50"/>
      <c r="L60" s="50"/>
      <c r="M60" s="50"/>
      <c r="N60" s="50"/>
      <c r="O60" s="50"/>
      <c r="P60" s="50"/>
      <c r="Q60" s="50"/>
      <c r="R60" s="50"/>
    </row>
    <row r="61" spans="3:19" ht="15.75" customHeight="1">
      <c r="D61" s="6" t="s">
        <v>234</v>
      </c>
      <c r="E61" s="25" t="str">
        <f>currency</f>
        <v>(₦'000)</v>
      </c>
      <c r="J61" s="40"/>
      <c r="K61" s="40"/>
      <c r="L61" s="40"/>
      <c r="M61" s="40"/>
      <c r="N61" s="40"/>
      <c r="O61" s="62">
        <f>N64</f>
        <v>19645345</v>
      </c>
      <c r="P61" s="62">
        <f>O64</f>
        <v>25193793.333333328</v>
      </c>
      <c r="Q61" s="62">
        <f>P64</f>
        <v>30258391.111111104</v>
      </c>
      <c r="R61" s="62">
        <f>Q64</f>
        <v>35128871.481481478</v>
      </c>
    </row>
    <row r="62" spans="3:19" ht="15.75" customHeight="1">
      <c r="D62" s="6" t="s">
        <v>242</v>
      </c>
      <c r="E62" s="25" t="str">
        <f>currency</f>
        <v>(₦'000)</v>
      </c>
      <c r="J62" s="40"/>
      <c r="K62" s="40"/>
      <c r="L62" s="40"/>
      <c r="M62" s="40"/>
      <c r="N62" s="40"/>
      <c r="O62" s="62">
        <f>Historical!O133</f>
        <v>15097431.666666666</v>
      </c>
      <c r="P62" s="62">
        <f>Historical!P133</f>
        <v>16796575.555555556</v>
      </c>
      <c r="Q62" s="62">
        <f>Historical!Q133</f>
        <v>17179784.074074075</v>
      </c>
      <c r="R62" s="62">
        <f>Historical!R133</f>
        <v>16357930.432098767</v>
      </c>
    </row>
    <row r="63" spans="3:19" ht="15.75" customHeight="1">
      <c r="D63" s="6" t="s">
        <v>243</v>
      </c>
      <c r="E63" s="25" t="str">
        <f>currency</f>
        <v>(₦'000)</v>
      </c>
      <c r="J63" s="40"/>
      <c r="K63" s="40"/>
      <c r="L63" s="40"/>
      <c r="M63" s="40"/>
      <c r="N63" s="40"/>
      <c r="O63" s="62">
        <f>Historical!O132</f>
        <v>9548983.333333334</v>
      </c>
      <c r="P63" s="62">
        <f>Historical!P132</f>
        <v>11731977.777777778</v>
      </c>
      <c r="Q63" s="62">
        <f>Historical!Q132</f>
        <v>12309303.703703703</v>
      </c>
      <c r="R63" s="62">
        <f>Historical!R132</f>
        <v>11196754.938271604</v>
      </c>
    </row>
    <row r="64" spans="3:19" ht="15.75" customHeight="1">
      <c r="D64" s="6" t="s">
        <v>195</v>
      </c>
      <c r="E64" s="25" t="str">
        <f>currency</f>
        <v>(₦'000)</v>
      </c>
      <c r="J64" s="40"/>
      <c r="K64" s="40"/>
      <c r="L64" s="40"/>
      <c r="M64" s="40"/>
      <c r="N64" s="79">
        <f>BS!N51</f>
        <v>19645345</v>
      </c>
      <c r="O64" s="80">
        <f>O61+O62-O63</f>
        <v>25193793.333333328</v>
      </c>
      <c r="P64" s="80">
        <f>P61+P62-P63</f>
        <v>30258391.111111104</v>
      </c>
      <c r="Q64" s="80">
        <f>Q61+Q62-Q63</f>
        <v>35128871.481481478</v>
      </c>
      <c r="R64" s="80">
        <f>R61+R62-R63</f>
        <v>40290046.975308642</v>
      </c>
    </row>
    <row r="65" spans="3:19" ht="15.75" customHeight="1">
      <c r="J65" s="40"/>
      <c r="K65" s="40"/>
      <c r="L65" s="40"/>
      <c r="M65" s="40"/>
      <c r="N65" s="40"/>
      <c r="O65" s="40"/>
      <c r="P65" s="40"/>
      <c r="Q65" s="40"/>
      <c r="R65" s="40"/>
    </row>
    <row r="66" spans="3:19" ht="15.75" customHeight="1">
      <c r="C66" s="49" t="s">
        <v>244</v>
      </c>
      <c r="D66" s="49"/>
      <c r="E66" s="49"/>
      <c r="F66" s="49"/>
      <c r="G66" s="49"/>
      <c r="H66" s="49"/>
      <c r="I66" s="49"/>
      <c r="J66" s="50"/>
      <c r="K66" s="50"/>
      <c r="L66" s="50"/>
      <c r="M66" s="50"/>
      <c r="N66" s="50"/>
      <c r="O66" s="50"/>
      <c r="P66" s="50"/>
      <c r="Q66" s="50"/>
      <c r="R66" s="50"/>
    </row>
    <row r="67" spans="3:19" ht="15.75" customHeight="1">
      <c r="D67" s="6" t="s">
        <v>234</v>
      </c>
      <c r="E67" s="25" t="str">
        <f>currency</f>
        <v>(₦'000)</v>
      </c>
      <c r="J67" s="40"/>
      <c r="K67" s="40"/>
      <c r="L67" s="40"/>
      <c r="M67" s="40"/>
      <c r="N67" s="40"/>
      <c r="O67" s="62">
        <f>N69</f>
        <v>1200000</v>
      </c>
      <c r="P67" s="62">
        <f>O69</f>
        <v>1200000</v>
      </c>
      <c r="Q67" s="62">
        <f>P69</f>
        <v>1200000</v>
      </c>
      <c r="R67" s="62">
        <f>Q69</f>
        <v>1200000</v>
      </c>
    </row>
    <row r="68" spans="3:19" ht="15.75" customHeight="1">
      <c r="D68" s="6" t="s">
        <v>245</v>
      </c>
      <c r="E68" s="25" t="str">
        <f>currency</f>
        <v>(₦'000)</v>
      </c>
      <c r="J68" s="40"/>
      <c r="K68" s="40"/>
      <c r="L68" s="40"/>
      <c r="M68" s="40"/>
      <c r="N68" s="40"/>
      <c r="O68" s="62">
        <f>Drivers!O58-Drivers!N58</f>
        <v>0</v>
      </c>
      <c r="P68" s="62">
        <f>Drivers!P58-Drivers!O58</f>
        <v>0</v>
      </c>
      <c r="Q68" s="62">
        <f>Drivers!Q58-Drivers!P58</f>
        <v>0</v>
      </c>
      <c r="R68" s="62">
        <f>Drivers!R58-Drivers!Q58</f>
        <v>0</v>
      </c>
    </row>
    <row r="69" spans="3:19" ht="15.75" customHeight="1">
      <c r="D69" s="6" t="s">
        <v>195</v>
      </c>
      <c r="E69" s="25" t="str">
        <f>currency</f>
        <v>(₦'000)</v>
      </c>
      <c r="J69" s="40"/>
      <c r="K69" s="40"/>
      <c r="L69" s="40"/>
      <c r="M69" s="40"/>
      <c r="N69" s="79">
        <f>BS!N34</f>
        <v>1200000</v>
      </c>
      <c r="O69" s="80">
        <f>O67+O68</f>
        <v>1200000</v>
      </c>
      <c r="P69" s="80">
        <f>P67+P68</f>
        <v>1200000</v>
      </c>
      <c r="Q69" s="80">
        <f>Q67+Q68</f>
        <v>1200000</v>
      </c>
      <c r="R69" s="80">
        <f>R67+R68</f>
        <v>1200000</v>
      </c>
    </row>
    <row r="70" spans="3:19" ht="15.75" customHeight="1">
      <c r="J70" s="40"/>
      <c r="K70" s="40"/>
      <c r="L70" s="40"/>
      <c r="M70" s="40"/>
      <c r="N70" s="40"/>
      <c r="O70" s="40"/>
      <c r="P70" s="40"/>
      <c r="Q70" s="40"/>
      <c r="R70" s="40"/>
    </row>
    <row r="71" spans="3:19" ht="15.75" customHeight="1">
      <c r="C71" s="49" t="s">
        <v>246</v>
      </c>
      <c r="D71" s="49"/>
      <c r="E71" s="49"/>
      <c r="F71" s="49"/>
      <c r="G71" s="49"/>
      <c r="H71" s="49"/>
      <c r="I71" s="49"/>
      <c r="J71" s="50"/>
      <c r="K71" s="50"/>
      <c r="L71" s="50"/>
      <c r="M71" s="50"/>
      <c r="N71" s="50"/>
      <c r="O71" s="50"/>
      <c r="P71" s="50"/>
      <c r="Q71" s="50"/>
      <c r="R71" s="50"/>
    </row>
    <row r="72" spans="3:19" ht="15.75" customHeight="1">
      <c r="D72" s="6" t="s">
        <v>234</v>
      </c>
      <c r="E72" s="25" t="str">
        <f>currency</f>
        <v>(₦'000)</v>
      </c>
      <c r="J72" s="40"/>
      <c r="K72" s="40"/>
      <c r="L72" s="40"/>
      <c r="M72" s="40"/>
      <c r="N72" s="40"/>
      <c r="O72" s="62">
        <f>N74</f>
        <v>5009225</v>
      </c>
      <c r="P72" s="62">
        <f>O74</f>
        <v>5009225</v>
      </c>
      <c r="Q72" s="62">
        <f>P74</f>
        <v>5009225</v>
      </c>
      <c r="R72" s="62">
        <f>Q74</f>
        <v>5009225</v>
      </c>
    </row>
    <row r="73" spans="3:19" ht="15.75" customHeight="1">
      <c r="D73" s="6" t="s">
        <v>247</v>
      </c>
      <c r="E73" s="25" t="str">
        <f>currency</f>
        <v>(₦'000)</v>
      </c>
      <c r="J73" s="40"/>
      <c r="K73" s="40"/>
      <c r="L73" s="40"/>
      <c r="M73" s="40"/>
      <c r="N73" s="40"/>
      <c r="O73" s="62">
        <f>Drivers!O59-Drivers!N59</f>
        <v>0</v>
      </c>
      <c r="P73" s="62">
        <f>Drivers!P59-Drivers!O59</f>
        <v>0</v>
      </c>
      <c r="Q73" s="62">
        <f>Drivers!Q59-Drivers!P59</f>
        <v>0</v>
      </c>
      <c r="R73" s="62">
        <f>Drivers!R59-Drivers!Q59</f>
        <v>0</v>
      </c>
    </row>
    <row r="74" spans="3:19" ht="15.75" customHeight="1">
      <c r="D74" s="6" t="s">
        <v>195</v>
      </c>
      <c r="E74" s="25" t="str">
        <f>currency</f>
        <v>(₦'000)</v>
      </c>
      <c r="J74" s="40"/>
      <c r="K74" s="40"/>
      <c r="L74" s="40"/>
      <c r="M74" s="40"/>
      <c r="N74" s="79">
        <f>BS!N35</f>
        <v>5009225</v>
      </c>
      <c r="O74" s="80">
        <f>O72+O73</f>
        <v>5009225</v>
      </c>
      <c r="P74" s="80">
        <f>P72+P73</f>
        <v>5009225</v>
      </c>
      <c r="Q74" s="80">
        <f>Q72+Q73</f>
        <v>5009225</v>
      </c>
      <c r="R74" s="80">
        <f>R72+R73</f>
        <v>5009225</v>
      </c>
    </row>
    <row r="75" spans="3:19" ht="15.75" customHeight="1">
      <c r="J75" s="40"/>
      <c r="K75" s="40"/>
      <c r="L75" s="40"/>
      <c r="M75" s="40"/>
      <c r="N75" s="40"/>
      <c r="O75" s="40"/>
      <c r="P75" s="40"/>
      <c r="Q75" s="40"/>
      <c r="R75" s="40"/>
    </row>
    <row r="76" spans="3:19" ht="15.75" customHeight="1">
      <c r="C76" s="49" t="s">
        <v>248</v>
      </c>
      <c r="D76" s="49"/>
      <c r="E76" s="49"/>
      <c r="F76" s="49"/>
      <c r="G76" s="49"/>
      <c r="H76" s="49"/>
      <c r="I76" s="49"/>
      <c r="J76" s="50"/>
      <c r="K76" s="50"/>
      <c r="L76" s="50"/>
      <c r="M76" s="50"/>
      <c r="N76" s="50"/>
      <c r="O76" s="50"/>
      <c r="P76" s="50"/>
      <c r="Q76" s="50"/>
      <c r="R76" s="50"/>
    </row>
    <row r="77" spans="3:19" ht="15.75" customHeight="1">
      <c r="D77" s="6" t="s">
        <v>234</v>
      </c>
      <c r="E77" s="25" t="str">
        <f>currency</f>
        <v>(₦'000)</v>
      </c>
      <c r="J77" s="40"/>
      <c r="K77" s="40"/>
      <c r="L77" s="40"/>
      <c r="M77" s="40"/>
      <c r="N77" s="40"/>
      <c r="O77" s="62">
        <f>N79</f>
        <v>7915</v>
      </c>
      <c r="P77" s="62">
        <f>O79</f>
        <v>7915</v>
      </c>
      <c r="Q77" s="62">
        <f>P79</f>
        <v>7915</v>
      </c>
      <c r="R77" s="62">
        <f>Q79</f>
        <v>7915</v>
      </c>
    </row>
    <row r="78" spans="3:19" ht="15.75" customHeight="1">
      <c r="D78" s="6" t="s">
        <v>249</v>
      </c>
      <c r="E78" s="25" t="str">
        <f>currency</f>
        <v>(₦'000)</v>
      </c>
      <c r="J78" s="40"/>
      <c r="K78" s="40"/>
      <c r="L78" s="40"/>
      <c r="M78" s="40"/>
      <c r="N78" s="40"/>
      <c r="O78" s="62">
        <f>Drivers!O61-Drivers!N61</f>
        <v>0</v>
      </c>
      <c r="P78" s="62">
        <f>Drivers!P61-Drivers!O61</f>
        <v>0</v>
      </c>
      <c r="Q78" s="62">
        <f>Drivers!Q61-Drivers!P61</f>
        <v>0</v>
      </c>
      <c r="R78" s="62">
        <f>Drivers!R61-Drivers!Q61</f>
        <v>0</v>
      </c>
    </row>
    <row r="79" spans="3:19" ht="15.75" customHeight="1">
      <c r="D79" s="6" t="s">
        <v>195</v>
      </c>
      <c r="E79" s="25" t="str">
        <f>currency</f>
        <v>(₦'000)</v>
      </c>
      <c r="J79" s="40"/>
      <c r="K79" s="40"/>
      <c r="L79" s="40"/>
      <c r="M79" s="40"/>
      <c r="N79" s="79">
        <f>BS!N37</f>
        <v>7915</v>
      </c>
      <c r="O79" s="80">
        <f>O77+O78</f>
        <v>7915</v>
      </c>
      <c r="P79" s="80">
        <f>P77+P78</f>
        <v>7915</v>
      </c>
      <c r="Q79" s="80">
        <f>Q77+Q78</f>
        <v>7915</v>
      </c>
      <c r="R79" s="80">
        <f>R77+R78</f>
        <v>7915</v>
      </c>
    </row>
    <row r="80" spans="3:19" ht="15.75" customHeight="1">
      <c r="J80" s="40"/>
      <c r="K80" s="40"/>
      <c r="L80" s="40"/>
      <c r="M80" s="40"/>
      <c r="N80" s="40"/>
      <c r="O80" s="40"/>
      <c r="P80" s="40"/>
      <c r="Q80" s="40"/>
      <c r="R80" s="40"/>
      <c r="S80" s="17"/>
    </row>
    <row r="81" spans="3:18" ht="15.75" customHeight="1">
      <c r="C81" s="49" t="s">
        <v>85</v>
      </c>
      <c r="D81" s="49"/>
      <c r="E81" s="49"/>
      <c r="F81" s="49"/>
      <c r="G81" s="49"/>
      <c r="H81" s="49"/>
      <c r="I81" s="49"/>
      <c r="J81" s="50"/>
      <c r="K81" s="50"/>
      <c r="L81" s="50"/>
      <c r="M81" s="50"/>
      <c r="N81" s="50"/>
      <c r="O81" s="50"/>
      <c r="P81" s="50"/>
      <c r="Q81" s="50"/>
      <c r="R81" s="50"/>
    </row>
    <row r="82" spans="3:18" ht="15.75" customHeight="1">
      <c r="D82" s="6" t="s">
        <v>234</v>
      </c>
      <c r="E82" s="25" t="str">
        <f>currency</f>
        <v>(₦'000)</v>
      </c>
      <c r="J82" s="40"/>
      <c r="K82" s="40"/>
      <c r="L82" s="40"/>
      <c r="M82" s="40"/>
      <c r="N82" s="40"/>
      <c r="O82" s="62">
        <f>N84</f>
        <v>12360</v>
      </c>
      <c r="P82" s="62">
        <f>O84</f>
        <v>12360</v>
      </c>
      <c r="Q82" s="62">
        <f>P84</f>
        <v>12360</v>
      </c>
      <c r="R82" s="62">
        <f>Q84</f>
        <v>12360</v>
      </c>
    </row>
    <row r="83" spans="3:18" ht="15.75" customHeight="1">
      <c r="D83" s="6" t="s">
        <v>250</v>
      </c>
      <c r="E83" s="25" t="str">
        <f>currency</f>
        <v>(₦'000)</v>
      </c>
      <c r="J83" s="40"/>
      <c r="K83" s="40"/>
      <c r="L83" s="40"/>
      <c r="M83" s="40"/>
      <c r="N83" s="40"/>
      <c r="O83" s="62">
        <f>Drivers!O47-Drivers!N47</f>
        <v>0</v>
      </c>
      <c r="P83" s="62">
        <f>Drivers!P47-Drivers!O47</f>
        <v>0</v>
      </c>
      <c r="Q83" s="62">
        <f>Drivers!Q47-Drivers!P47</f>
        <v>0</v>
      </c>
      <c r="R83" s="62">
        <f>Drivers!R47-Drivers!Q47</f>
        <v>0</v>
      </c>
    </row>
    <row r="84" spans="3:18" ht="15.75" customHeight="1">
      <c r="D84" s="6" t="s">
        <v>195</v>
      </c>
      <c r="E84" s="25" t="str">
        <f>currency</f>
        <v>(₦'000)</v>
      </c>
      <c r="J84" s="40"/>
      <c r="K84" s="40"/>
      <c r="L84" s="40"/>
      <c r="M84" s="40"/>
      <c r="N84" s="79">
        <f>BS!N20</f>
        <v>12360</v>
      </c>
      <c r="O84" s="80">
        <f>O82+O83</f>
        <v>12360</v>
      </c>
      <c r="P84" s="80">
        <f>P82+P83</f>
        <v>12360</v>
      </c>
      <c r="Q84" s="80">
        <f>Q82+Q83</f>
        <v>12360</v>
      </c>
      <c r="R84" s="80">
        <f>R82+R83</f>
        <v>12360</v>
      </c>
    </row>
    <row r="85" spans="3:18" ht="15.75" customHeight="1">
      <c r="J85" s="40"/>
      <c r="K85" s="40"/>
      <c r="L85" s="40"/>
      <c r="M85" s="40"/>
      <c r="N85" s="40"/>
      <c r="O85" s="40"/>
      <c r="P85" s="40"/>
      <c r="Q85" s="40"/>
      <c r="R85" s="40"/>
    </row>
    <row r="86" spans="3:18" ht="15.75" customHeight="1">
      <c r="C86" s="49" t="s">
        <v>251</v>
      </c>
      <c r="D86" s="49"/>
      <c r="E86" s="49"/>
      <c r="F86" s="49"/>
      <c r="G86" s="49"/>
      <c r="H86" s="49"/>
      <c r="I86" s="49"/>
      <c r="J86" s="50"/>
      <c r="K86" s="50"/>
      <c r="L86" s="50"/>
      <c r="M86" s="50"/>
      <c r="N86" s="50"/>
      <c r="O86" s="50"/>
      <c r="P86" s="50"/>
      <c r="Q86" s="50"/>
      <c r="R86" s="50"/>
    </row>
    <row r="87" spans="3:18" ht="15.75" customHeight="1">
      <c r="D87" s="6" t="s">
        <v>234</v>
      </c>
      <c r="E87" s="25" t="str">
        <f>currency</f>
        <v>(₦'000)</v>
      </c>
      <c r="J87" s="40"/>
      <c r="K87" s="40"/>
      <c r="L87" s="40"/>
      <c r="M87" s="40"/>
      <c r="N87" s="40"/>
      <c r="O87" s="62">
        <f>N89</f>
        <v>20498</v>
      </c>
      <c r="P87" s="62">
        <f>O89</f>
        <v>20498</v>
      </c>
      <c r="Q87" s="62">
        <f>P89</f>
        <v>20498</v>
      </c>
      <c r="R87" s="62">
        <f>Q89</f>
        <v>20498</v>
      </c>
    </row>
    <row r="88" spans="3:18" ht="15.75" customHeight="1">
      <c r="D88" s="6" t="s">
        <v>252</v>
      </c>
      <c r="E88" s="25" t="str">
        <f>currency</f>
        <v>(₦'000)</v>
      </c>
      <c r="J88" s="40"/>
      <c r="K88" s="40"/>
      <c r="L88" s="40"/>
      <c r="M88" s="40"/>
      <c r="N88" s="40"/>
      <c r="O88" s="62">
        <f>Drivers!O48-Drivers!N48</f>
        <v>0</v>
      </c>
      <c r="P88" s="62">
        <f>Drivers!P48-Drivers!O48</f>
        <v>0</v>
      </c>
      <c r="Q88" s="62">
        <f>Drivers!Q48-Drivers!P48</f>
        <v>0</v>
      </c>
      <c r="R88" s="62">
        <f>Drivers!R48-Drivers!Q48</f>
        <v>0</v>
      </c>
    </row>
    <row r="89" spans="3:18" ht="15.75" customHeight="1">
      <c r="D89" s="6" t="s">
        <v>195</v>
      </c>
      <c r="E89" s="25" t="str">
        <f>currency</f>
        <v>(₦'000)</v>
      </c>
      <c r="J89" s="40"/>
      <c r="K89" s="40"/>
      <c r="L89" s="40"/>
      <c r="M89" s="40"/>
      <c r="N89" s="79">
        <f>BS!N21</f>
        <v>20498</v>
      </c>
      <c r="O89" s="80">
        <f>O87+O88</f>
        <v>20498</v>
      </c>
      <c r="P89" s="80">
        <f>P87+P88</f>
        <v>20498</v>
      </c>
      <c r="Q89" s="80">
        <f>Q87+Q88</f>
        <v>20498</v>
      </c>
      <c r="R89" s="80">
        <f>R87+R88</f>
        <v>20498</v>
      </c>
    </row>
    <row r="90" spans="3:18" ht="15.75" customHeight="1">
      <c r="J90" s="40"/>
      <c r="K90" s="40"/>
      <c r="L90" s="40"/>
      <c r="M90" s="40"/>
      <c r="N90" s="40"/>
      <c r="O90" s="40"/>
      <c r="P90" s="40"/>
      <c r="Q90" s="40"/>
      <c r="R90" s="40"/>
    </row>
    <row r="91" spans="3:18" ht="15.75" customHeight="1">
      <c r="C91" s="49" t="s">
        <v>87</v>
      </c>
      <c r="D91" s="49"/>
      <c r="E91" s="49"/>
      <c r="F91" s="49"/>
      <c r="G91" s="49"/>
      <c r="H91" s="49"/>
      <c r="I91" s="49"/>
      <c r="J91" s="50"/>
      <c r="K91" s="50"/>
      <c r="L91" s="50"/>
      <c r="M91" s="50"/>
      <c r="N91" s="50"/>
      <c r="O91" s="50"/>
      <c r="P91" s="50"/>
      <c r="Q91" s="50"/>
      <c r="R91" s="50"/>
    </row>
    <row r="92" spans="3:18" ht="15.75" customHeight="1">
      <c r="D92" s="6" t="s">
        <v>234</v>
      </c>
      <c r="E92" s="25" t="str">
        <f>currency</f>
        <v>(₦'000)</v>
      </c>
      <c r="J92" s="40"/>
      <c r="K92" s="40"/>
      <c r="L92" s="40"/>
      <c r="M92" s="40"/>
      <c r="N92" s="40"/>
      <c r="O92" s="62">
        <f>N94</f>
        <v>215936</v>
      </c>
      <c r="P92" s="62">
        <f>O94</f>
        <v>215936</v>
      </c>
      <c r="Q92" s="62">
        <f>P94</f>
        <v>215936</v>
      </c>
      <c r="R92" s="62">
        <f>Q94</f>
        <v>215936</v>
      </c>
    </row>
    <row r="93" spans="3:18" ht="15.75" customHeight="1">
      <c r="D93" s="6" t="s">
        <v>253</v>
      </c>
      <c r="E93" s="25" t="str">
        <f>currency</f>
        <v>(₦'000)</v>
      </c>
      <c r="J93" s="40"/>
      <c r="K93" s="40"/>
      <c r="L93" s="40"/>
      <c r="M93" s="40"/>
      <c r="N93" s="40"/>
      <c r="O93" s="62">
        <f>Drivers!O49-Drivers!N49</f>
        <v>0</v>
      </c>
      <c r="P93" s="62">
        <f>Drivers!P49-Drivers!O49</f>
        <v>0</v>
      </c>
      <c r="Q93" s="62">
        <f>Drivers!Q49-Drivers!P49</f>
        <v>0</v>
      </c>
      <c r="R93" s="62">
        <f>Drivers!R49-Drivers!Q49</f>
        <v>0</v>
      </c>
    </row>
    <row r="94" spans="3:18" ht="15.75" customHeight="1">
      <c r="D94" s="6" t="s">
        <v>195</v>
      </c>
      <c r="E94" s="25" t="str">
        <f>currency</f>
        <v>(₦'000)</v>
      </c>
      <c r="J94" s="40"/>
      <c r="K94" s="40"/>
      <c r="L94" s="40"/>
      <c r="M94" s="40"/>
      <c r="N94" s="79">
        <f>BS!N22</f>
        <v>215936</v>
      </c>
      <c r="O94" s="80">
        <f>O92+O93</f>
        <v>215936</v>
      </c>
      <c r="P94" s="80">
        <f>P92+P93</f>
        <v>215936</v>
      </c>
      <c r="Q94" s="80">
        <f>Q92+Q93</f>
        <v>215936</v>
      </c>
      <c r="R94" s="80">
        <f>R92+R93</f>
        <v>215936</v>
      </c>
    </row>
    <row r="95" spans="3:18" ht="15.75" customHeight="1">
      <c r="J95" s="40"/>
      <c r="K95" s="40"/>
      <c r="L95" s="40"/>
      <c r="M95" s="40"/>
      <c r="N95" s="40"/>
      <c r="O95" s="40"/>
      <c r="P95" s="40"/>
      <c r="Q95" s="40"/>
      <c r="R95" s="40"/>
    </row>
    <row r="96" spans="3:18" ht="15.75" customHeight="1">
      <c r="C96" s="49" t="s">
        <v>106</v>
      </c>
      <c r="D96" s="49"/>
      <c r="E96" s="49"/>
      <c r="F96" s="49"/>
      <c r="G96" s="49"/>
      <c r="H96" s="49"/>
      <c r="I96" s="49"/>
      <c r="J96" s="50"/>
      <c r="K96" s="50"/>
      <c r="L96" s="50"/>
      <c r="M96" s="50"/>
      <c r="N96" s="50"/>
      <c r="O96" s="50"/>
      <c r="P96" s="50"/>
      <c r="Q96" s="50"/>
      <c r="R96" s="50"/>
    </row>
    <row r="97" spans="3:18" ht="15.75" customHeight="1">
      <c r="D97" s="6" t="s">
        <v>234</v>
      </c>
      <c r="E97" s="25" t="str">
        <f>currency</f>
        <v>(₦'000)</v>
      </c>
      <c r="J97" s="40"/>
      <c r="K97" s="40"/>
      <c r="L97" s="40"/>
      <c r="M97" s="40"/>
      <c r="N97" s="40"/>
      <c r="O97" s="62">
        <f>N99</f>
        <v>160139</v>
      </c>
      <c r="P97" s="62">
        <f>O99</f>
        <v>160139</v>
      </c>
      <c r="Q97" s="62">
        <f>P99</f>
        <v>160139</v>
      </c>
      <c r="R97" s="62">
        <f>Q99</f>
        <v>160139</v>
      </c>
    </row>
    <row r="98" spans="3:18" ht="15.75" customHeight="1">
      <c r="D98" s="6" t="s">
        <v>254</v>
      </c>
      <c r="E98" s="25" t="str">
        <f>currency</f>
        <v>(₦'000)</v>
      </c>
      <c r="J98" s="40"/>
      <c r="K98" s="40"/>
      <c r="L98" s="40"/>
      <c r="M98" s="40"/>
      <c r="N98" s="40"/>
      <c r="O98" s="62">
        <f>Drivers!O69-Drivers!N69</f>
        <v>0</v>
      </c>
      <c r="P98" s="62">
        <f>Drivers!P69-Drivers!O69</f>
        <v>0</v>
      </c>
      <c r="Q98" s="62">
        <f>Drivers!Q69-Drivers!P69</f>
        <v>0</v>
      </c>
      <c r="R98" s="62">
        <f>Drivers!R69-Drivers!Q69</f>
        <v>0</v>
      </c>
    </row>
    <row r="99" spans="3:18" ht="15.75" customHeight="1">
      <c r="D99" s="6" t="s">
        <v>195</v>
      </c>
      <c r="E99" s="25" t="str">
        <f>currency</f>
        <v>(₦'000)</v>
      </c>
      <c r="J99" s="40"/>
      <c r="K99" s="40"/>
      <c r="L99" s="40"/>
      <c r="M99" s="40"/>
      <c r="N99" s="79">
        <f>BS!N43</f>
        <v>160139</v>
      </c>
      <c r="O99" s="80">
        <f>O97+O98</f>
        <v>160139</v>
      </c>
      <c r="P99" s="80">
        <f>P97+P98</f>
        <v>160139</v>
      </c>
      <c r="Q99" s="80">
        <f>Q97+Q98</f>
        <v>160139</v>
      </c>
      <c r="R99" s="80">
        <f>R97+R98</f>
        <v>160139</v>
      </c>
    </row>
    <row r="100" spans="3:18" ht="15.75" customHeight="1"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3:18" ht="15.75" customHeight="1">
      <c r="C101" s="49" t="s">
        <v>107</v>
      </c>
      <c r="D101" s="49"/>
      <c r="E101" s="49"/>
      <c r="F101" s="49"/>
      <c r="G101" s="49"/>
      <c r="H101" s="49"/>
      <c r="I101" s="49"/>
      <c r="J101" s="50"/>
      <c r="K101" s="50"/>
      <c r="L101" s="50"/>
      <c r="M101" s="50"/>
      <c r="N101" s="50"/>
      <c r="O101" s="50"/>
      <c r="P101" s="50"/>
      <c r="Q101" s="50"/>
      <c r="R101" s="50"/>
    </row>
    <row r="102" spans="3:18" ht="15.75" customHeight="1">
      <c r="D102" s="6" t="s">
        <v>234</v>
      </c>
      <c r="E102" s="25" t="str">
        <f>currency</f>
        <v>(₦'000)</v>
      </c>
      <c r="J102" s="40"/>
      <c r="K102" s="40"/>
      <c r="L102" s="40"/>
      <c r="M102" s="40"/>
      <c r="N102" s="40"/>
      <c r="O102" s="62">
        <f>N104</f>
        <v>634755</v>
      </c>
      <c r="P102" s="62">
        <f>O104</f>
        <v>634755</v>
      </c>
      <c r="Q102" s="62">
        <f>P104</f>
        <v>634755</v>
      </c>
      <c r="R102" s="62">
        <f>Q104</f>
        <v>634755</v>
      </c>
    </row>
    <row r="103" spans="3:18" ht="15.75" customHeight="1">
      <c r="D103" s="6" t="s">
        <v>255</v>
      </c>
      <c r="E103" s="25" t="str">
        <f>currency</f>
        <v>(₦'000)</v>
      </c>
      <c r="J103" s="40"/>
      <c r="K103" s="40"/>
      <c r="L103" s="40"/>
      <c r="M103" s="40"/>
      <c r="N103" s="40"/>
      <c r="O103" s="62">
        <f>Drivers!O70-Drivers!N70</f>
        <v>0</v>
      </c>
      <c r="P103" s="62">
        <f>Drivers!P70-Drivers!O70</f>
        <v>0</v>
      </c>
      <c r="Q103" s="62">
        <f>Drivers!Q70-Drivers!P70</f>
        <v>0</v>
      </c>
      <c r="R103" s="62">
        <f>Drivers!R70-Drivers!Q70</f>
        <v>0</v>
      </c>
    </row>
    <row r="104" spans="3:18" ht="15.75" customHeight="1">
      <c r="D104" s="6" t="s">
        <v>195</v>
      </c>
      <c r="E104" s="25" t="str">
        <f>currency</f>
        <v>(₦'000)</v>
      </c>
      <c r="J104" s="40"/>
      <c r="K104" s="40"/>
      <c r="L104" s="40"/>
      <c r="M104" s="40"/>
      <c r="N104" s="79">
        <f>BS!N44</f>
        <v>634755</v>
      </c>
      <c r="O104" s="80">
        <f>O102+O103</f>
        <v>634755</v>
      </c>
      <c r="P104" s="80">
        <f>P102+P103</f>
        <v>634755</v>
      </c>
      <c r="Q104" s="80">
        <f>Q102+Q103</f>
        <v>634755</v>
      </c>
      <c r="R104" s="80">
        <f>R102+R103</f>
        <v>634755</v>
      </c>
    </row>
    <row r="105" spans="3:18" ht="15.75" customHeight="1"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3:18" ht="15.75" customHeight="1">
      <c r="C106" s="49" t="s">
        <v>256</v>
      </c>
      <c r="D106" s="49"/>
      <c r="E106" s="49"/>
      <c r="F106" s="49"/>
      <c r="G106" s="49"/>
      <c r="H106" s="49"/>
      <c r="I106" s="49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3:18" ht="15.75" customHeight="1">
      <c r="C107" s="19" t="s">
        <v>257</v>
      </c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3:18" ht="15.75" customHeight="1">
      <c r="D108" s="77" t="str">
        <f>BS!D25</f>
        <v>Inventories</v>
      </c>
      <c r="J108" s="40"/>
      <c r="K108" s="40"/>
      <c r="L108" s="40"/>
      <c r="M108" s="40"/>
      <c r="N108" s="79">
        <f>BS!N25</f>
        <v>26547162</v>
      </c>
      <c r="O108" s="40">
        <f>Drivers!O52*Calculation!O12</f>
        <v>46635333.266135454</v>
      </c>
      <c r="P108" s="40">
        <f>Drivers!P52*Calculation!P12</f>
        <v>63890406.574605577</v>
      </c>
      <c r="Q108" s="40">
        <f>Drivers!Q52*Calculation!Q12</f>
        <v>83696432.612733319</v>
      </c>
      <c r="R108" s="40">
        <f>Drivers!R52*Calculation!R12</f>
        <v>104620540.76591665</v>
      </c>
    </row>
    <row r="109" spans="3:18" ht="15.75" customHeight="1">
      <c r="D109" s="77" t="str">
        <f>BS!D26</f>
        <v>Trade receivables</v>
      </c>
      <c r="J109" s="40"/>
      <c r="K109" s="40"/>
      <c r="L109" s="40"/>
      <c r="M109" s="40"/>
      <c r="N109" s="79">
        <f>BS!N26</f>
        <v>10815636</v>
      </c>
      <c r="O109" s="40">
        <f>Drivers!O53*Calculation!O12</f>
        <v>14778688.8673371</v>
      </c>
      <c r="P109" s="40">
        <f>Drivers!P53*Calculation!P12</f>
        <v>20246803.748251829</v>
      </c>
      <c r="Q109" s="40">
        <f>Drivers!Q53*Calculation!Q12</f>
        <v>26523312.910209898</v>
      </c>
      <c r="R109" s="40">
        <f>Drivers!R53*Calculation!R12</f>
        <v>33154141.137762375</v>
      </c>
    </row>
    <row r="110" spans="3:18" ht="15.75" customHeight="1">
      <c r="D110" s="77" t="str">
        <f>BS!D27</f>
        <v>Other receivables</v>
      </c>
      <c r="J110" s="40"/>
      <c r="K110" s="40"/>
      <c r="L110" s="40"/>
      <c r="M110" s="40"/>
      <c r="N110" s="79">
        <f>BS!N27</f>
        <v>252591</v>
      </c>
      <c r="O110" s="40">
        <f>Drivers!O54</f>
        <v>252591</v>
      </c>
      <c r="P110" s="40">
        <f>Drivers!P54</f>
        <v>252591</v>
      </c>
      <c r="Q110" s="40">
        <f>Drivers!Q54</f>
        <v>252591</v>
      </c>
      <c r="R110" s="40">
        <f>Drivers!R54</f>
        <v>252591</v>
      </c>
    </row>
    <row r="111" spans="3:18" ht="15.75" customHeight="1">
      <c r="D111" s="77" t="str">
        <f>BS!D28</f>
        <v>Prepayment/ Other assets</v>
      </c>
      <c r="J111" s="40"/>
      <c r="K111" s="40"/>
      <c r="L111" s="40"/>
      <c r="M111" s="40"/>
      <c r="N111" s="79">
        <f>BS!N28</f>
        <v>6535857</v>
      </c>
      <c r="O111" s="40">
        <f>Drivers!O55*Calculation!O15</f>
        <v>17285619.370515093</v>
      </c>
      <c r="P111" s="40">
        <f>Drivers!P55*Calculation!P15</f>
        <v>23681298.537605681</v>
      </c>
      <c r="Q111" s="40">
        <f>Drivers!Q55*Calculation!Q15</f>
        <v>31022501.084263444</v>
      </c>
      <c r="R111" s="40">
        <f>Drivers!R55*Calculation!R15</f>
        <v>38778126.355329305</v>
      </c>
    </row>
    <row r="112" spans="3:18" ht="15.75" customHeight="1">
      <c r="D112" s="19" t="s">
        <v>258</v>
      </c>
      <c r="J112" s="40"/>
      <c r="K112" s="40"/>
      <c r="L112" s="40"/>
      <c r="M112" s="40"/>
      <c r="N112" s="81">
        <f>SUM(N108:N111)</f>
        <v>44151246</v>
      </c>
      <c r="O112" s="81">
        <f>SUM(O108:O111)</f>
        <v>78952232.50398764</v>
      </c>
      <c r="P112" s="81">
        <f>SUM(P108:P111)</f>
        <v>108071099.86046308</v>
      </c>
      <c r="Q112" s="81">
        <f>SUM(Q108:Q111)</f>
        <v>141494837.60720664</v>
      </c>
      <c r="R112" s="81">
        <f>SUM(R108:R111)</f>
        <v>176805399.25900832</v>
      </c>
    </row>
    <row r="113" spans="1:26" ht="15.75" customHeight="1"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1:26" ht="15.75" customHeight="1">
      <c r="B114" s="19" t="s">
        <v>103</v>
      </c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:26" ht="15.75" customHeight="1">
      <c r="D115" s="77" t="str">
        <f>BS!D48</f>
        <v>Trade payables</v>
      </c>
      <c r="J115" s="40"/>
      <c r="K115" s="40"/>
      <c r="L115" s="40"/>
      <c r="M115" s="40"/>
      <c r="N115" s="79">
        <f>BS!N48</f>
        <v>4447042</v>
      </c>
      <c r="O115" s="40">
        <f>Drivers!O79*Calculation!O15</f>
        <v>15509379.38172658</v>
      </c>
      <c r="P115" s="40">
        <f>Drivers!P79*Calculation!P15</f>
        <v>21247849.752965417</v>
      </c>
      <c r="Q115" s="40">
        <f>Drivers!Q79*Calculation!Q15</f>
        <v>27834683.176384695</v>
      </c>
      <c r="R115" s="40">
        <f>Drivers!R79*Calculation!R15</f>
        <v>34793353.970480874</v>
      </c>
    </row>
    <row r="116" spans="1:26" ht="15.75" customHeight="1">
      <c r="D116" s="77" t="str">
        <f>BS!D49</f>
        <v>Other Payables</v>
      </c>
      <c r="J116" s="40"/>
      <c r="K116" s="40"/>
      <c r="L116" s="40"/>
      <c r="M116" s="40"/>
      <c r="N116" s="79">
        <f>BS!N49</f>
        <v>2262787</v>
      </c>
      <c r="O116" s="40">
        <f>Drivers!O80</f>
        <v>2262787</v>
      </c>
      <c r="P116" s="40">
        <f>Drivers!P80</f>
        <v>2262787</v>
      </c>
      <c r="Q116" s="40">
        <f>Drivers!Q80</f>
        <v>2262787</v>
      </c>
      <c r="R116" s="40">
        <f>Drivers!R80</f>
        <v>2262787</v>
      </c>
    </row>
    <row r="117" spans="1:26" ht="15.75" customHeight="1">
      <c r="D117" s="77" t="str">
        <f>BS!D50</f>
        <v>Bank Overdraft</v>
      </c>
      <c r="J117" s="40"/>
      <c r="K117" s="40"/>
      <c r="L117" s="40"/>
      <c r="M117" s="40"/>
      <c r="N117" s="79">
        <f>BS!N50</f>
        <v>9528</v>
      </c>
      <c r="O117" s="40">
        <f>N117+Cashflow!O39</f>
        <v>4384741.4601158854</v>
      </c>
      <c r="P117" s="40">
        <f>O117+Cashflow!P39</f>
        <v>8940313.6102660224</v>
      </c>
      <c r="Q117" s="40">
        <f>P117+Cashflow!Q39</f>
        <v>10380610.21907552</v>
      </c>
      <c r="R117" s="40">
        <f>Q117+Cashflow!R39</f>
        <v>5922617.1774356896</v>
      </c>
    </row>
    <row r="118" spans="1:26" ht="15.75" customHeight="1">
      <c r="D118" s="77" t="str">
        <f>BS!D45</f>
        <v>Deferred Tax Liability</v>
      </c>
      <c r="J118" s="40"/>
      <c r="K118" s="40"/>
      <c r="L118" s="40"/>
      <c r="M118" s="40"/>
      <c r="N118" s="79">
        <f>BS!N45</f>
        <v>4676504</v>
      </c>
      <c r="O118" s="40">
        <f>Drivers!O71</f>
        <v>4676504</v>
      </c>
      <c r="P118" s="40">
        <f>Drivers!P71</f>
        <v>4396538.666666667</v>
      </c>
      <c r="Q118" s="40">
        <f>Drivers!Q71</f>
        <v>4583182.2222222229</v>
      </c>
      <c r="R118" s="40">
        <f>Drivers!R71</f>
        <v>4552074.9629629636</v>
      </c>
    </row>
    <row r="119" spans="1:26" ht="15.75" customHeight="1">
      <c r="D119" s="77" t="str">
        <f>BS!D52</f>
        <v>Income tax payable</v>
      </c>
      <c r="J119" s="40"/>
      <c r="K119" s="40"/>
      <c r="L119" s="40"/>
      <c r="M119" s="40"/>
      <c r="N119" s="79">
        <f>BS!N52</f>
        <v>4250709</v>
      </c>
      <c r="O119" s="40">
        <f>Drivers!O82</f>
        <v>4250709</v>
      </c>
      <c r="P119" s="40">
        <f>Drivers!P82</f>
        <v>4250709</v>
      </c>
      <c r="Q119" s="40">
        <f>Drivers!Q82</f>
        <v>4250709</v>
      </c>
      <c r="R119" s="40">
        <f>Drivers!R82</f>
        <v>4250709</v>
      </c>
    </row>
    <row r="120" spans="1:26" ht="15.75" customHeight="1">
      <c r="D120" s="19" t="s">
        <v>327</v>
      </c>
      <c r="J120" s="40"/>
      <c r="K120" s="40"/>
      <c r="L120" s="40"/>
      <c r="M120" s="40"/>
      <c r="N120" s="81">
        <f>SUM(N115:N116)+N118</f>
        <v>11386333</v>
      </c>
      <c r="O120" s="81">
        <f>SUM(O115:O116)+O118</f>
        <v>22448670.381726578</v>
      </c>
      <c r="P120" s="81">
        <f>SUM(P115:P116)+P118</f>
        <v>27907175.419632085</v>
      </c>
      <c r="Q120" s="81">
        <f>SUM(Q115:Q116)+Q118</f>
        <v>34680652.398606919</v>
      </c>
      <c r="R120" s="81">
        <f>SUM(R115:R116)+R118</f>
        <v>41608215.933443837</v>
      </c>
    </row>
    <row r="121" spans="1:26" ht="15.75" customHeight="1">
      <c r="A121" s="19"/>
      <c r="B121" s="19"/>
      <c r="C121" s="19"/>
      <c r="D121" s="19" t="s">
        <v>259</v>
      </c>
      <c r="E121" s="19"/>
      <c r="F121" s="19"/>
      <c r="G121" s="19"/>
      <c r="H121" s="19"/>
      <c r="I121" s="19"/>
      <c r="J121" s="54"/>
      <c r="K121" s="54"/>
      <c r="L121" s="54"/>
      <c r="M121" s="54"/>
      <c r="N121" s="54">
        <f>N112-N120</f>
        <v>32764913</v>
      </c>
      <c r="O121" s="54">
        <f>O112-O120</f>
        <v>56503562.122261062</v>
      </c>
      <c r="P121" s="54">
        <f>P112-P120</f>
        <v>80163924.440831006</v>
      </c>
      <c r="Q121" s="54">
        <f>Q112-Q120</f>
        <v>106814185.20859972</v>
      </c>
      <c r="R121" s="54">
        <f>R112-R120</f>
        <v>135197183.32556447</v>
      </c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 t="s">
        <v>260</v>
      </c>
      <c r="E122" s="19"/>
      <c r="F122" s="19"/>
      <c r="G122" s="19"/>
      <c r="H122" s="19"/>
      <c r="I122" s="19"/>
      <c r="J122" s="54"/>
      <c r="K122" s="54"/>
      <c r="L122" s="54"/>
      <c r="M122" s="54"/>
      <c r="N122" s="54"/>
      <c r="O122" s="19">
        <f>N121-O121</f>
        <v>-23738649.122261062</v>
      </c>
      <c r="P122" s="19">
        <f>O121-P121</f>
        <v>-23660362.318569943</v>
      </c>
      <c r="Q122" s="19">
        <f>P121-Q121</f>
        <v>-26650260.767768711</v>
      </c>
      <c r="R122" s="19">
        <f>Q121-R121</f>
        <v>-28382998.116964757</v>
      </c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1:26" ht="15.75" customHeight="1"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1:26" ht="15.75" customHeight="1">
      <c r="C125" s="19" t="s">
        <v>261</v>
      </c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1:26" ht="15.75" customHeight="1">
      <c r="D126" s="25" t="s">
        <v>262</v>
      </c>
      <c r="E126" s="82" t="str">
        <f>currency</f>
        <v>(₦'000)</v>
      </c>
      <c r="J126" s="40"/>
      <c r="K126" s="40"/>
      <c r="L126" s="40"/>
      <c r="M126" s="40"/>
      <c r="N126" s="79">
        <f>Cashflow!N44</f>
        <v>4710818</v>
      </c>
      <c r="O126" s="40">
        <f>Cashflow!O44</f>
        <v>2000000</v>
      </c>
      <c r="P126" s="40">
        <f>Cashflow!P44</f>
        <v>2000000</v>
      </c>
      <c r="Q126" s="40">
        <f>Cashflow!Q44</f>
        <v>2000000</v>
      </c>
      <c r="R126" s="40">
        <f>Cashflow!R44</f>
        <v>2000000</v>
      </c>
    </row>
    <row r="127" spans="1:26" ht="15.75" customHeight="1">
      <c r="D127" s="25" t="s">
        <v>261</v>
      </c>
      <c r="E127" s="82" t="str">
        <f>currency</f>
        <v>(₦'000)</v>
      </c>
      <c r="J127" s="40"/>
      <c r="K127" s="40"/>
      <c r="L127" s="40"/>
      <c r="M127" s="40"/>
      <c r="N127" s="40"/>
      <c r="O127" s="40">
        <f>N126*Drivers!O29</f>
        <v>179574.24599109867</v>
      </c>
      <c r="P127" s="40">
        <f>O126*Drivers!P29</f>
        <v>76239.093079417915</v>
      </c>
      <c r="Q127" s="40">
        <f>P126*Drivers!Q29</f>
        <v>76239.093079417915</v>
      </c>
      <c r="R127" s="40">
        <f>Q126*Drivers!R29</f>
        <v>76239.093079417915</v>
      </c>
    </row>
    <row r="128" spans="1:26" ht="15.75" customHeight="1"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10:18" ht="15.75" customHeight="1"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10:18" ht="15.75" customHeight="1"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10:18" ht="15.75" customHeight="1"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10:18" ht="15.75" customHeight="1"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10:18" ht="15.75" customHeight="1"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10:18" ht="15.75" customHeight="1"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10:18" ht="15.75" customHeight="1"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10:18" ht="15.75" customHeight="1"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10:18" ht="15.75" customHeight="1"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10:18" ht="15.75" customHeight="1"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10:18" ht="15.75" customHeight="1"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10:18" ht="15.75" customHeight="1"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10:18" ht="15.75" customHeight="1"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10:18" ht="15.75" customHeight="1"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10:18" ht="15.75" customHeight="1"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10:18" ht="15.75" customHeight="1"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10:18" ht="15.75" customHeight="1"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0:18" ht="15.75" customHeight="1"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10:18" ht="15.75" customHeight="1"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10:18" ht="15.75" customHeight="1"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10:18" ht="15.75" customHeight="1"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10:18" ht="15.75" customHeight="1"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10:18" ht="15.75" customHeight="1"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10:18" ht="15.75" customHeight="1"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10:18" ht="15.75" customHeight="1"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10:18" ht="15.75" customHeight="1"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10:18" ht="15.75" customHeight="1"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0:18" ht="15.75" customHeight="1"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0:18" ht="15.75" customHeight="1"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0:18" ht="15.75" customHeight="1"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0:18" ht="15.75" customHeight="1"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0:18" ht="15.75" customHeight="1"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0:18" ht="15.75" customHeight="1"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0:18" ht="15.75" customHeight="1"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0:18" ht="15.75" customHeight="1"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0:18" ht="15.75" customHeight="1"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0:18" ht="15.75" customHeight="1"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0:18" ht="15.75" customHeight="1"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0:18" ht="15.75" customHeight="1"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0:18" ht="15.75" customHeight="1"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0:18" ht="15.75" customHeight="1"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0:18" ht="15.75" customHeight="1"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0:18" ht="15.75" customHeight="1"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0:18" ht="15.75" customHeight="1"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0:18" ht="15.75" customHeight="1"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0:18" ht="15.75" customHeight="1"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0:18" ht="15.75" customHeight="1"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0:18" ht="15.75" customHeight="1"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0:18" ht="15.75" customHeight="1"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0:18" ht="15.75" customHeight="1"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0:18" ht="15.75" customHeight="1"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0:18" ht="15.75" customHeight="1"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0:18" ht="15.75" customHeight="1"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0:18" ht="15.75" customHeight="1"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0:18" ht="15.75" customHeight="1"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0:18" ht="15.75" customHeight="1"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0:18" ht="15.75" customHeight="1"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0:18" ht="15.75" customHeight="1"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0:18" ht="15.75" customHeight="1"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0:18" ht="15.75" customHeight="1"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0:18" ht="15.75" customHeight="1"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0:18" ht="15.75" customHeight="1"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0:18" ht="15.75" customHeight="1"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0:18" ht="15.75" customHeight="1"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0:18" ht="15.75" customHeight="1"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0:18" ht="15.75" customHeight="1"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0:18" ht="15.75" customHeight="1"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0:18" ht="15.75" customHeight="1"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0:18" ht="15.75" customHeight="1"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0:18" ht="15.75" customHeight="1"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0:18" ht="15.75" customHeight="1"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0:18" ht="15.75" customHeight="1"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0:18" ht="15.75" customHeight="1"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0:18" ht="15.75" customHeight="1"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0:18" ht="15.75" customHeight="1"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0:18" ht="15.75" customHeight="1"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0:18" ht="15.75" customHeight="1"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0:18" ht="15.75" customHeight="1"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0:18" ht="15.75" customHeight="1"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0:18" ht="15.75" customHeight="1"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0:18" ht="15.75" customHeight="1"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0:18" ht="15.75" customHeight="1"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0:18" ht="15.75" customHeight="1"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0:18" ht="15.75" customHeight="1"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0:18" ht="15.75" customHeight="1"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0:18" ht="15.75" customHeight="1"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0:18" ht="15.75" customHeight="1"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0:18" ht="15.75" customHeight="1"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0:18" ht="15.75" customHeight="1"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0:18" ht="15.75" customHeight="1"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0:18" ht="15.75" customHeight="1"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0:18" ht="15.75" customHeight="1"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0:18" ht="15.75" customHeight="1"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0:18" ht="15.75" customHeight="1"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0:18" ht="15.75" customHeight="1"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0:18" ht="15.75" customHeight="1"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0:18" ht="15.75" customHeight="1"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0:18" ht="15.75" customHeight="1"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0:18" ht="15.75" customHeight="1"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0:18" ht="15.75" customHeight="1"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0:18" ht="15.75" customHeight="1"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0:18" ht="15.75" customHeight="1"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0:18" ht="15.75" customHeight="1"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0:18" ht="15.75" customHeight="1"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0:18" ht="15.75" customHeight="1"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0:18" ht="15.75" customHeight="1"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0:18" ht="15.75" customHeight="1"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0:18" ht="15.75" customHeight="1"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0:18" ht="15.75" customHeight="1"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0:18" ht="15.75" customHeight="1"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0:18" ht="15.75" customHeight="1"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0:18" ht="15.75" customHeight="1"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0:18" ht="15.75" customHeight="1"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0:18" ht="15.75" customHeight="1"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0:18" ht="15.75" customHeight="1"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0:18" ht="15.75" customHeight="1"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0:18" ht="15.75" customHeight="1"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0:18" ht="15.75" customHeight="1"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0:18" ht="15.75" customHeight="1"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0:18" ht="15.75" customHeight="1"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0:18" ht="15.75" customHeight="1"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0:18" ht="15.75" customHeight="1"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0:18" ht="15.75" customHeight="1"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0:18" ht="15.75" customHeight="1"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0:18" ht="15.75" customHeight="1"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0:18" ht="15.75" customHeight="1"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0:18" ht="15.75" customHeight="1"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0:18" ht="15.75" customHeight="1"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0:18" ht="15.75" customHeight="1"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0:18" ht="15.75" customHeight="1"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0:18" ht="15.75" customHeight="1"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0:18" ht="15.75" customHeight="1"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0:18" ht="15.75" customHeight="1"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0:18" ht="15.75" customHeight="1"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0:18" ht="15.75" customHeight="1"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0:18" ht="15.75" customHeight="1"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0:18" ht="15.75" customHeight="1"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0:18" ht="15.75" customHeight="1"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0:18" ht="15.75" customHeight="1"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0:18" ht="15.75" customHeight="1"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0:18" ht="15.75" customHeight="1"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0:18" ht="15.75" customHeight="1"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0:18" ht="15.75" customHeight="1"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0:18" ht="15.75" customHeight="1"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0:18" ht="15.75" customHeight="1"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0:18" ht="15.75" customHeight="1"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0:18" ht="15.75" customHeight="1"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0:18" ht="15.75" customHeight="1"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0:18" ht="15.75" customHeight="1"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0:18" ht="15.75" customHeight="1"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0:18" ht="15.75" customHeight="1"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0:18" ht="15.75" customHeight="1"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0:18" ht="15.75" customHeight="1"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0:18" ht="15.75" customHeight="1"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0:18" ht="15.75" customHeight="1"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0:18" ht="15.75" customHeight="1"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0:18" ht="15.75" customHeight="1"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0:18" ht="15.75" customHeight="1"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0:18" ht="15.75" customHeight="1"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0:18" ht="15.75" customHeight="1"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0:18" ht="15.75" customHeight="1"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0:18" ht="15.75" customHeight="1"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0:18" ht="15.75" customHeight="1"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0:18" ht="15.75" customHeight="1"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0:18" ht="15.75" customHeight="1"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0:18" ht="15.75" customHeight="1"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0:18" ht="15.75" customHeight="1"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0:18" ht="15.75" customHeight="1"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0:18" ht="15.75" customHeight="1"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0:18" ht="15.75" customHeight="1"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0:18" ht="15.75" customHeight="1"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0:18" ht="15.75" customHeight="1"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0:18" ht="15.75" customHeight="1"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0:18" ht="15.75" customHeight="1"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0:18" ht="15.75" customHeight="1"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0:18" ht="15.75" customHeight="1"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0:18" ht="15.75" customHeight="1"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0:18" ht="15.75" customHeight="1"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0:18" ht="15.75" customHeight="1"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0:18" ht="15.75" customHeight="1"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0:18" ht="15.75" customHeight="1"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0:18" ht="15.75" customHeight="1"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0:18" ht="15.75" customHeight="1"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0:18" ht="15.75" customHeight="1"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0:18" ht="15.75" customHeight="1"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0:18" ht="15.75" customHeight="1"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0:18" ht="15.75" customHeight="1"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0:18" ht="15.75" customHeight="1"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0:18" ht="15.75" customHeight="1"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0:18" ht="15.75" customHeight="1"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0:18" ht="15.75" customHeight="1"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0:18" ht="15.75" customHeight="1"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0:18" ht="15.75" customHeight="1"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0:18" ht="15.75" customHeight="1"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0:18" ht="15.75" customHeight="1"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0:18" ht="15.75" customHeight="1"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0:18" ht="15.75" customHeight="1"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0:18" ht="15.75" customHeight="1"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0:18" ht="15.75" customHeight="1"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0:18" ht="15.75" customHeight="1"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0:18" ht="15.75" customHeight="1"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0:18" ht="15.75" customHeight="1"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0:18" ht="15.75" customHeight="1"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0:18" ht="15.75" customHeight="1"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0:18" ht="15.75" customHeight="1"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0:18" ht="15.75" customHeight="1"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0:18" ht="15.75" customHeight="1"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0:18" ht="15.75" customHeight="1"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0:18" ht="15.75" customHeight="1"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0:18" ht="15.75" customHeight="1"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0:18" ht="15.75" customHeight="1"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0:18" ht="15.75" customHeight="1"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0:18" ht="15.75" customHeight="1"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0:18" ht="15.75" customHeight="1"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0:18" ht="15.75" customHeight="1"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0:18" ht="15.75" customHeight="1"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0:18" ht="15.75" customHeight="1"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0:18" ht="15.75" customHeight="1"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0:18" ht="15.75" customHeight="1"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0:18" ht="15.75" customHeight="1"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0:18" ht="15.75" customHeight="1"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0:18" ht="15.75" customHeight="1"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0:18" ht="15.75" customHeight="1"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0:18" ht="15.75" customHeight="1"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0:18" ht="15.75" customHeight="1"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0:18" ht="15.75" customHeight="1"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0:18" ht="15.75" customHeight="1"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0:18" ht="15.75" customHeight="1"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0:18" ht="15.75" customHeight="1"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0:18" ht="15.75" customHeight="1"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0:18" ht="15.75" customHeight="1"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0:18" ht="15.75" customHeight="1"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0:18" ht="15.75" customHeight="1"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0:18" ht="15.75" customHeight="1"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0:18" ht="15.75" customHeight="1"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0:18" ht="15.75" customHeight="1"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0:18" ht="15.75" customHeight="1"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0:18" ht="15.75" customHeight="1"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0:18" ht="15.75" customHeight="1"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0:18" ht="15.75" customHeight="1"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0:18" ht="15.75" customHeight="1"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0:18" ht="15.75" customHeight="1"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0:18" ht="15.75" customHeight="1"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0:18" ht="15.75" customHeight="1"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0:18" ht="15.75" customHeight="1"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0:18" ht="15.75" customHeight="1"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0:18" ht="15.75" customHeight="1"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0:18" ht="15.75" customHeight="1"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0:18" ht="15.75" customHeight="1"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0:18" ht="15.75" customHeight="1"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0:18" ht="15.75" customHeight="1"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0:18" ht="15.75" customHeight="1"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0:18" ht="15.75" customHeight="1"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0:18" ht="15.75" customHeight="1"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0:18" ht="15.75" customHeight="1"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0:18" ht="15.75" customHeight="1"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0:18" ht="15.75" customHeight="1"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0:18" ht="15.75" customHeight="1"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0:18" ht="15.75" customHeight="1"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0:18" ht="15.75" customHeight="1"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0:18" ht="15.75" customHeight="1"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0:18" ht="15.75" customHeight="1"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0:18" ht="15.75" customHeight="1"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0:18" ht="15.75" customHeight="1"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0:18" ht="15.75" customHeight="1"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0:18" ht="15.75" customHeight="1"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0:18" ht="15.75" customHeight="1"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0:18" ht="15.75" customHeight="1"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0:18" ht="15.75" customHeight="1"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0:18" ht="15.75" customHeight="1"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0:18" ht="15.75" customHeight="1"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0:18" ht="15.75" customHeight="1"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0:18" ht="15.75" customHeight="1"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0:18" ht="15.75" customHeight="1"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0:18" ht="15.75" customHeight="1"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0:18" ht="15.75" customHeight="1"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0:18" ht="15.75" customHeight="1"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0:18" ht="15.75" customHeight="1"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0:18" ht="15.75" customHeight="1"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0:18" ht="15.75" customHeight="1"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0:18" ht="15.75" customHeight="1"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0:18" ht="15.75" customHeight="1"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0:18" ht="15.75" customHeight="1"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0:18" ht="15.75" customHeight="1"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0:18" ht="15.75" customHeight="1"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0:18" ht="15.75" customHeight="1"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0:18" ht="15.75" customHeight="1"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0:18" ht="15.75" customHeight="1"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0:18" ht="15.75" customHeight="1"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0:18" ht="15.75" customHeight="1"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0:18" ht="15.75" customHeight="1"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0:18" ht="15.75" customHeight="1"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0:18" ht="15.75" customHeight="1"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0:18" ht="15.75" customHeight="1"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0:18" ht="15.75" customHeight="1"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0:18" ht="15.75" customHeight="1"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0:18" ht="15.75" customHeight="1"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0:18" ht="15.75" customHeight="1"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0:18" ht="15.75" customHeight="1"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0:18" ht="15.75" customHeight="1"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0:18" ht="15.75" customHeight="1"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0:18" ht="15.75" customHeight="1"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0:18" ht="15.75" customHeight="1"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0:18" ht="15.75" customHeight="1"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0:18" ht="15.75" customHeight="1"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0:18" ht="15.75" customHeight="1"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0:18" ht="15.75" customHeight="1"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0:18" ht="15.75" customHeight="1"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0:18" ht="15.75" customHeight="1"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0:18" ht="15.75" customHeight="1"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0:18" ht="15.75" customHeight="1"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0:18" ht="15.75" customHeight="1"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0:18" ht="15.75" customHeight="1"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0:18" ht="15.75" customHeight="1"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0:18" ht="15.75" customHeight="1"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0:18" ht="15.75" customHeight="1"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0:18" ht="15.75" customHeight="1"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0:18" ht="15.75" customHeight="1"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0:18" ht="15.75" customHeight="1"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0:18" ht="15.75" customHeight="1"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0:18" ht="15.75" customHeight="1"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0:18" ht="15.75" customHeight="1"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0:18" ht="15.75" customHeight="1"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0:18" ht="15.75" customHeight="1"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0:18" ht="15.75" customHeight="1"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0:18" ht="15.75" customHeight="1"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0:18" ht="15.75" customHeight="1"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0:18" ht="15.75" customHeight="1"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0:18" ht="15.75" customHeight="1"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0:18" ht="15.75" customHeight="1"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0:18" ht="15.75" customHeight="1"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0:18" ht="15.75" customHeight="1"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0:18" ht="15.75" customHeight="1"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0:18" ht="15.75" customHeight="1"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0:18" ht="15.75" customHeight="1"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0:18" ht="15.75" customHeight="1"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0:18" ht="15.75" customHeight="1"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0:18" ht="15.75" customHeight="1"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0:18" ht="15.75" customHeight="1"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0:18" ht="15.75" customHeight="1"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0:18" ht="15.75" customHeight="1"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0:18" ht="15.75" customHeight="1"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0:18" ht="15.75" customHeight="1"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0:18" ht="15.75" customHeight="1"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0:18" ht="15.75" customHeight="1"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0:18" ht="15.75" customHeight="1"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0:18" ht="15.75" customHeight="1"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0:18" ht="15.75" customHeight="1"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0:18" ht="15.75" customHeight="1"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0:18" ht="15.75" customHeight="1"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0:18" ht="15.75" customHeight="1"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0:18" ht="15.75" customHeight="1"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0:18" ht="15.75" customHeight="1"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0:18" ht="15.75" customHeight="1"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0:18" ht="15.75" customHeight="1"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0:18" ht="15.75" customHeight="1"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0:18" ht="15.75" customHeight="1"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0:18" ht="15.75" customHeight="1"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0:18" ht="15.75" customHeight="1"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0:18" ht="15.75" customHeight="1"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0:18" ht="15.75" customHeight="1"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0:18" ht="15.75" customHeight="1"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0:18" ht="15.75" customHeight="1"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0:18" ht="15.75" customHeight="1"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0:18" ht="15.75" customHeight="1"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0:18" ht="15.75" customHeight="1"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0:18" ht="15.75" customHeight="1"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0:18" ht="15.75" customHeight="1"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0:18" ht="15.75" customHeight="1"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0:18" ht="15.75" customHeight="1"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0:18" ht="15.75" customHeight="1"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0:18" ht="15.75" customHeight="1"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0:18" ht="15.75" customHeight="1"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0:18" ht="15.75" customHeight="1"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0:18" ht="15.75" customHeight="1"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0:18" ht="15.75" customHeight="1"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0:18" ht="15.75" customHeight="1"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0:18" ht="15.75" customHeight="1"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0:18" ht="15.75" customHeight="1"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0:18" ht="15.75" customHeight="1"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0:18" ht="15.75" customHeight="1"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0:18" ht="15.75" customHeight="1"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0:18" ht="15.75" customHeight="1"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0:18" ht="15.75" customHeight="1"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0:18" ht="15.75" customHeight="1"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0:18" ht="15.75" customHeight="1"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0:18" ht="15.75" customHeight="1"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0:18" ht="15.75" customHeight="1"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0:18" ht="15.75" customHeight="1"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0:18" ht="15.75" customHeight="1"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0:18" ht="15.75" customHeight="1"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0:18" ht="15.75" customHeight="1"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0:18" ht="15.75" customHeight="1"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0:18" ht="15.75" customHeight="1"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0:18" ht="15.75" customHeight="1"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0:18" ht="15.75" customHeight="1"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0:18" ht="15.75" customHeight="1"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0:18" ht="15.75" customHeight="1"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0:18" ht="15.75" customHeight="1"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0:18" ht="15.75" customHeight="1"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0:18" ht="15.75" customHeight="1"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0:18" ht="15.75" customHeight="1"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0:18" ht="15.75" customHeight="1"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0:18" ht="15.75" customHeight="1"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0:18" ht="15.75" customHeight="1"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0:18" ht="15.75" customHeight="1"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0:18" ht="15.75" customHeight="1"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0:18" ht="15.75" customHeight="1"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0:18" ht="15.75" customHeight="1"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0:18" ht="15.75" customHeight="1"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0:18" ht="15.75" customHeight="1"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0:18" ht="15.75" customHeight="1"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0:18" ht="15.75" customHeight="1"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0:18" ht="15.75" customHeight="1"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0:18" ht="15.75" customHeight="1"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0:18" ht="15.75" customHeight="1"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0:18" ht="15.75" customHeight="1"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0:18" ht="15.75" customHeight="1"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0:18" ht="15.75" customHeight="1"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0:18" ht="15.75" customHeight="1"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0:18" ht="15.75" customHeight="1"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0:18" ht="15.75" customHeight="1"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0:18" ht="15.75" customHeight="1"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0:18" ht="15.75" customHeight="1"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0:18" ht="15.75" customHeight="1"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0:18" ht="15.75" customHeight="1"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0:18" ht="15.75" customHeight="1"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0:18" ht="15.75" customHeight="1"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0:18" ht="15.75" customHeight="1"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0:18" ht="15.75" customHeight="1"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0:18" ht="15.75" customHeight="1"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0:18" ht="15.75" customHeight="1"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0:18" ht="15.75" customHeight="1"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0:18" ht="15.75" customHeight="1"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0:18" ht="15.75" customHeight="1"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0:18" ht="15.75" customHeight="1"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0:18" ht="15.75" customHeight="1"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0:18" ht="15.75" customHeight="1"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0:18" ht="15.75" customHeight="1"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0:18" ht="15.75" customHeight="1"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0:18" ht="15.75" customHeight="1"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0:18" ht="15.75" customHeight="1"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0:18" ht="15.75" customHeight="1"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0:18" ht="15.75" customHeight="1"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0:18" ht="15.75" customHeight="1"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0:18" ht="15.75" customHeight="1"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0:18" ht="15.75" customHeight="1"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0:18" ht="15.75" customHeight="1"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0:18" ht="15.75" customHeight="1"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0:18" ht="15.75" customHeight="1"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0:18" ht="15.75" customHeight="1"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0:18" ht="15.75" customHeight="1"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0:18" ht="15.75" customHeight="1"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0:18" ht="15.75" customHeight="1"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0:18" ht="15.75" customHeight="1"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0:18" ht="15.75" customHeight="1"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0:18" ht="15.75" customHeight="1"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0:18" ht="15.75" customHeight="1"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0:18" ht="15.75" customHeight="1"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0:18" ht="15.75" customHeight="1"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0:18" ht="15.75" customHeight="1"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0:18" ht="15.75" customHeight="1"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0:18" ht="15.75" customHeight="1"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0:18" ht="15.75" customHeight="1"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0:18" ht="15.75" customHeight="1"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0:18" ht="15.75" customHeight="1"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0:18" ht="15.75" customHeight="1"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0:18" ht="15.75" customHeight="1"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0:18" ht="15.75" customHeight="1"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0:18" ht="15.75" customHeight="1"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0:18" ht="15.75" customHeight="1"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0:18" ht="15.75" customHeight="1"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0:18" ht="15.75" customHeight="1"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0:18" ht="15.75" customHeight="1"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0:18" ht="15.75" customHeight="1"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0:18" ht="15.75" customHeight="1"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0:18" ht="15.75" customHeight="1"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0:18" ht="15.75" customHeight="1"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0:18" ht="15.75" customHeight="1"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0:18" ht="15.75" customHeight="1"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0:18" ht="15.75" customHeight="1"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0:18" ht="15.75" customHeight="1"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0:18" ht="15.75" customHeight="1"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0:18" ht="15.75" customHeight="1"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0:18" ht="15.75" customHeight="1"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0:18" ht="15.75" customHeight="1"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0:18" ht="15.75" customHeight="1"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0:18" ht="15.75" customHeight="1"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0:18" ht="15.75" customHeight="1"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0:18" ht="15.75" customHeight="1"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0:18" ht="15.75" customHeight="1"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0:18" ht="15.75" customHeight="1"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0:18" ht="15.75" customHeight="1"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0:18" ht="15.75" customHeight="1"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0:18" ht="15.75" customHeight="1"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0:18" ht="15.75" customHeight="1"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0:18" ht="15.75" customHeight="1"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0:18" ht="15.75" customHeight="1"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0:18" ht="15.75" customHeight="1"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0:18" ht="15.75" customHeight="1"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0:18" ht="15.75" customHeight="1"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0:18" ht="15.75" customHeight="1"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0:18" ht="15.75" customHeight="1"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0:18" ht="15.75" customHeight="1"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0:18" ht="15.75" customHeight="1"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0:18" ht="15.75" customHeight="1"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0:18" ht="15.75" customHeight="1"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0:18" ht="15.75" customHeight="1"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0:18" ht="15.75" customHeight="1"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0:18" ht="15.75" customHeight="1"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0:18" ht="15.75" customHeight="1"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0:18" ht="15.75" customHeight="1"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0:18" ht="15.75" customHeight="1"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0:18" ht="15.75" customHeight="1"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0:18" ht="15.75" customHeight="1"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0:18" ht="15.75" customHeight="1"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0:18" ht="15.75" customHeight="1"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0:18" ht="15.75" customHeight="1"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0:18" ht="15.75" customHeight="1"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0:18" ht="15.75" customHeight="1"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0:18" ht="15.75" customHeight="1"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0:18" ht="15.75" customHeight="1"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0:18" ht="15.75" customHeight="1"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0:18" ht="15.75" customHeight="1"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0:18" ht="15.75" customHeight="1"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0:18" ht="15.75" customHeight="1"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0:18" ht="15.75" customHeight="1"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0:18" ht="15.75" customHeight="1"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0:18" ht="15.75" customHeight="1"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0:18" ht="15.75" customHeight="1"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0:18" ht="15.75" customHeight="1"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0:18" ht="15.75" customHeight="1"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0:18" ht="15.75" customHeight="1"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0:18" ht="15.75" customHeight="1"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0:18" ht="15.75" customHeight="1"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0:18" ht="15.75" customHeight="1"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0:18" ht="15.75" customHeight="1"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0:18" ht="15.75" customHeight="1"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0:18" ht="15.75" customHeight="1"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0:18" ht="15.75" customHeight="1"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0:18" ht="15.75" customHeight="1"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0:18" ht="15.75" customHeight="1"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0:18" ht="15.75" customHeight="1"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0:18" ht="15.75" customHeight="1"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0:18" ht="15.75" customHeight="1"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0:18" ht="15.75" customHeight="1"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0:18" ht="15.75" customHeight="1"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0:18" ht="15.75" customHeight="1"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0:18" ht="15.75" customHeight="1"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0:18" ht="15.75" customHeight="1"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0:18" ht="15.75" customHeight="1"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0:18" ht="15.75" customHeight="1"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0:18" ht="15.75" customHeight="1"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0:18" ht="15.75" customHeight="1"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0:18" ht="15.75" customHeight="1"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0:18" ht="15.75" customHeight="1"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0:18" ht="15.75" customHeight="1"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0:18" ht="15.75" customHeight="1"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0:18" ht="15.75" customHeight="1"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0:18" ht="15.75" customHeight="1"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0:18" ht="15.75" customHeight="1"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0:18" ht="15.75" customHeight="1"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0:18" ht="15.75" customHeight="1"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0:18" ht="15.75" customHeight="1"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0:18" ht="15.75" customHeight="1"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0:18" ht="15.75" customHeight="1"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0:18" ht="15.75" customHeight="1"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0:18" ht="15.75" customHeight="1"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0:18" ht="15.75" customHeight="1"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0:18" ht="15.75" customHeight="1"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0:18" ht="15.75" customHeight="1"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0:18" ht="15.75" customHeight="1"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0:18" ht="15.75" customHeight="1"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0:18" ht="15.75" customHeight="1"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0:18" ht="15.75" customHeight="1"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0:18" ht="15.75" customHeight="1"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0:18" ht="15.75" customHeight="1"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0:18" ht="15.75" customHeight="1"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0:18" ht="15.75" customHeight="1"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0:18" ht="15.75" customHeight="1"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0:18" ht="15.75" customHeight="1"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0:18" ht="15.75" customHeight="1"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0:18" ht="15.75" customHeight="1"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0:18" ht="15.75" customHeight="1"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0:18" ht="15.75" customHeight="1"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0:18" ht="15.75" customHeight="1"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0:18" ht="15.75" customHeight="1"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0:18" ht="15.75" customHeight="1"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0:18" ht="15.75" customHeight="1"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0:18" ht="15.75" customHeight="1"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0:18" ht="15.75" customHeight="1"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0:18" ht="15.75" customHeight="1"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0:18" ht="15.75" customHeight="1"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0:18" ht="15.75" customHeight="1"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0:18" ht="15.75" customHeight="1"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0:18" ht="15.75" customHeight="1"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0:18" ht="15.75" customHeight="1"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0:18" ht="15.75" customHeight="1"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0:18" ht="15.75" customHeight="1"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0:18" ht="15.75" customHeight="1"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0:18" ht="15.75" customHeight="1"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0:18" ht="15.75" customHeight="1"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0:18" ht="15.75" customHeight="1"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0:18" ht="15.75" customHeight="1"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0:18" ht="15.75" customHeight="1"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0:18" ht="15.75" customHeight="1"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0:18" ht="15.75" customHeight="1"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0:18" ht="15.75" customHeight="1"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0:18" ht="15.75" customHeight="1"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0:18" ht="15.75" customHeight="1"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0:18" ht="15.75" customHeight="1"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0:18" ht="15.75" customHeight="1"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0:18" ht="15.75" customHeight="1"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0:18" ht="15.75" customHeight="1"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0:18" ht="15.75" customHeight="1"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0:18" ht="15.75" customHeight="1"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0:18" ht="15.75" customHeight="1"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0:18" ht="15.75" customHeight="1"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0:18" ht="15.75" customHeight="1"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0:18" ht="15.75" customHeight="1"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0:18" ht="15.75" customHeight="1"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0:18" ht="15.75" customHeight="1"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0:18" ht="15.75" customHeight="1"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0:18" ht="15.75" customHeight="1"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0:18" ht="15.75" customHeight="1"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0:18" ht="15.75" customHeight="1"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0:18" ht="15.75" customHeight="1"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0:18" ht="15.75" customHeight="1"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0:18" ht="15.75" customHeight="1"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0:18" ht="15.75" customHeight="1"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0:18" ht="15.75" customHeight="1"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0:18" ht="15.75" customHeight="1"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0:18" ht="15.75" customHeight="1"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0:18" ht="15.75" customHeight="1"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0:18" ht="15.75" customHeight="1"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0:18" ht="15.75" customHeight="1"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0:18" ht="15.75" customHeight="1"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0:18" ht="15.75" customHeight="1"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0:18" ht="15.75" customHeight="1"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0:18" ht="15.75" customHeight="1"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0:18" ht="15.75" customHeight="1"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0:18" ht="15.75" customHeight="1"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0:18" ht="15.75" customHeight="1"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0:18" ht="15.75" customHeight="1"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0:18" ht="15.75" customHeight="1"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0:18" ht="15.75" customHeight="1"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0:18" ht="15.75" customHeight="1"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0:18" ht="15.75" customHeight="1"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0:18" ht="15.75" customHeight="1"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0:18" ht="15.75" customHeight="1"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0:18" ht="15.75" customHeight="1"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0:18" ht="15.75" customHeight="1"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0:18" ht="15.75" customHeight="1"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0:18" ht="15.75" customHeight="1"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0:18" ht="15.75" customHeight="1"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0:18" ht="15.75" customHeight="1"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0:18" ht="15.75" customHeight="1"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0:18" ht="15.75" customHeight="1"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0:18" ht="15.75" customHeight="1"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0:18" ht="15.75" customHeight="1"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0:18" ht="15.75" customHeight="1"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0:18" ht="15.75" customHeight="1"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0:18" ht="15.75" customHeight="1"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0:18" ht="15.75" customHeight="1"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0:18" ht="15.75" customHeight="1"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0:18" ht="15.75" customHeight="1"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0:18" ht="15.75" customHeight="1"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0:18" ht="15.75" customHeight="1"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0:18" ht="15.75" customHeight="1"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0:18" ht="15.75" customHeight="1"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0:18" ht="15.75" customHeight="1"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0:18" ht="15.75" customHeight="1"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0:18" ht="15.75" customHeight="1"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0:18" ht="15.75" customHeight="1"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0:18" ht="15.75" customHeight="1"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0:18" ht="15.75" customHeight="1"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0:18" ht="15.75" customHeight="1"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0:18" ht="15.75" customHeight="1"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0:18" ht="15.75" customHeight="1"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0:18" ht="15.75" customHeight="1"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0:18" ht="15.75" customHeight="1"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0:18" ht="15.75" customHeight="1"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0:18" ht="15.75" customHeight="1"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0:18" ht="15.75" customHeight="1"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0:18" ht="15.75" customHeight="1"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0:18" ht="15.75" customHeight="1"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0:18" ht="15.75" customHeight="1"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0:18" ht="15.75" customHeight="1"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0:18" ht="15.75" customHeight="1"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0:18" ht="15.75" customHeight="1"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0:18" ht="15.75" customHeight="1"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0:18" ht="15.75" customHeight="1"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0:18" ht="15.75" customHeight="1"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0:18" ht="15.75" customHeight="1"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0:18" ht="15.75" customHeight="1"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0:18" ht="15.75" customHeight="1"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0:18" ht="15.75" customHeight="1"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0:18" ht="15.75" customHeight="1"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0:18" ht="15.75" customHeight="1"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0:18" ht="15.75" customHeight="1"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0:18" ht="15.75" customHeight="1"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0:18" ht="15.75" customHeight="1"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0:18" ht="15.75" customHeight="1"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0:18" ht="15.75" customHeight="1"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0:18" ht="15.75" customHeight="1"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0:18" ht="15.75" customHeight="1"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0:18" ht="15.75" customHeight="1"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0:18" ht="15.75" customHeight="1"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0:18" ht="15.75" customHeight="1"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0:18" ht="15.75" customHeight="1"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0:18" ht="15.75" customHeight="1"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0:18" ht="15.75" customHeight="1"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0:18" ht="15.75" customHeight="1"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0:18" ht="15.75" customHeight="1"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0:18" ht="15.75" customHeight="1"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0:18" ht="15.75" customHeight="1"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0:18" ht="15.75" customHeight="1"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0:18" ht="15.75" customHeight="1"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0:18" ht="15.75" customHeight="1"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0:18" ht="15.75" customHeight="1"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0:18" ht="15.75" customHeight="1"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0:18" ht="15.75" customHeight="1"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0:18" ht="15.75" customHeight="1"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0:18" ht="15.75" customHeight="1"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0:18" ht="15.75" customHeight="1"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0:18" ht="15.75" customHeight="1"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0:18" ht="15.75" customHeight="1"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0:18" ht="15.75" customHeight="1"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0:18" ht="15.75" customHeight="1"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0:18" ht="15.75" customHeight="1"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0:18" ht="15.75" customHeight="1"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0:18" ht="15.75" customHeight="1"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0:18" ht="15.75" customHeight="1"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0:18" ht="15.75" customHeight="1"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0:18" ht="15.75" customHeight="1"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0:18" ht="15.75" customHeight="1"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0:18" ht="15.75" customHeight="1"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0:18" ht="15.75" customHeight="1"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0:18" ht="15.75" customHeight="1"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0:18" ht="15.75" customHeight="1"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0:18" ht="15.75" customHeight="1"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0:18" ht="15.75" customHeight="1"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0:18" ht="15.75" customHeight="1"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0:18" ht="15.75" customHeight="1"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0:18" ht="15.75" customHeight="1"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0:18" ht="15.75" customHeight="1"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0:18" ht="15.75" customHeight="1"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0:18" ht="15.75" customHeight="1"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0:18" ht="15.75" customHeight="1"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0:18" ht="15.75" customHeight="1"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0:18" ht="15.75" customHeight="1"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0:18" ht="15.75" customHeight="1"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0:18" ht="15.75" customHeight="1"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0:18" ht="15.75" customHeight="1"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0:18" ht="15.75" customHeight="1"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0:18" ht="15.75" customHeight="1"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0:18" ht="15.75" customHeight="1"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0:18" ht="15.75" customHeight="1"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0:18" ht="15.75" customHeight="1"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0:18" ht="15.75" customHeight="1"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0:18" ht="15.75" customHeight="1"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0:18" ht="15.75" customHeight="1"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0:18" ht="15.75" customHeight="1"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0:18" ht="15.75" customHeight="1"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0:18" ht="15.75" customHeight="1"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0:18" ht="15.75" customHeight="1"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0:18" ht="15.75" customHeight="1"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0:18" ht="15.75" customHeight="1"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0:18" ht="15.75" customHeight="1"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0:18" ht="15.75" customHeight="1"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0:18" ht="15.75" customHeight="1"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0:18" ht="15.75" customHeight="1"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0:18" ht="15.75" customHeight="1"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0:18" ht="15.75" customHeight="1"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0:18" ht="15.75" customHeight="1"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0:18" ht="15.75" customHeight="1"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0:18" ht="15.75" customHeight="1"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0:18" ht="15.75" customHeight="1"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0:18" ht="15.75" customHeight="1"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0:18" ht="15.75" customHeight="1"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0:18" ht="15.75" customHeight="1"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0:18" ht="15.75" customHeight="1"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0:18" ht="15.75" customHeight="1"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0:18" ht="15.75" customHeight="1"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0:18" ht="15.75" customHeight="1"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0:18" ht="15.75" customHeight="1"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0:18" ht="15.75" customHeight="1"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0:18" ht="15.75" customHeight="1"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0:18" ht="15.75" customHeight="1"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0:18" ht="15.75" customHeight="1"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0:18" ht="15.75" customHeight="1"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0:18" ht="15.75" customHeight="1"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0:18" ht="15.75" customHeight="1"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0:18" ht="15.75" customHeight="1"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0:18" ht="15.75" customHeight="1"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0:18" ht="15.75" customHeight="1"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0:18" ht="15.75" customHeight="1"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0:18" ht="15.75" customHeight="1"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0:18" ht="15.75" customHeight="1"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0:18" ht="15.75" customHeight="1"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0:18" ht="15.75" customHeight="1"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0:18" ht="15.75" customHeight="1"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0:18" ht="15.75" customHeight="1"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0:18" ht="15.75" customHeight="1"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0:18" ht="15.75" customHeight="1"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0:18" ht="15.75" customHeight="1"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0:18" ht="15.75" customHeight="1"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0:18" ht="15.75" customHeight="1"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0:18" ht="15.75" customHeight="1"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0:18" ht="15.75" customHeight="1"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0:18" ht="15.75" customHeight="1"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0:18" ht="15.75" customHeight="1"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0:18" ht="15.75" customHeight="1"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0:18" ht="15.75" customHeight="1"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0:18" ht="15.75" customHeight="1"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0:18" ht="15.75" customHeight="1"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0:18" ht="15.75" customHeight="1"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0:18" ht="15.75" customHeight="1"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0:18" ht="15.75" customHeight="1"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0:18" ht="15.75" customHeight="1"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0:18" ht="15.75" customHeight="1"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0:18" ht="15.75" customHeight="1"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0:18" ht="15.75" customHeight="1"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0:18" ht="15.75" customHeight="1"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0:18" ht="15.75" customHeight="1"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0:18" ht="15.75" customHeight="1"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0:18" ht="15.75" customHeight="1"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0:18" ht="15.75" customHeight="1"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0:18" ht="15.75" customHeight="1"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0:18" ht="15.75" customHeight="1"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0:18" ht="15.75" customHeight="1"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0:18" ht="15.75" customHeight="1"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0:18" ht="15.75" customHeight="1"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0:18" ht="15.75" customHeight="1"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0:18" ht="15.75" customHeight="1"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0:18" ht="15.75" customHeight="1"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0:18" ht="15.75" customHeight="1"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0:18" ht="15.75" customHeight="1"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0:18" ht="15.75" customHeight="1"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0:18" ht="15.75" customHeight="1"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0:18" ht="15.75" customHeight="1"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0:18" ht="15.75" customHeight="1"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0:18" ht="15.75" customHeight="1"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0:18" ht="15.75" customHeight="1"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0:18" ht="15.75" customHeight="1"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0:18" ht="15.75" customHeight="1"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0:18" ht="15.75" customHeight="1"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0:18" ht="15.75" customHeight="1"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0:18" ht="15.75" customHeight="1"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0:18" ht="15.75" customHeight="1"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0:18" ht="15.75" customHeight="1"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0:18" ht="15.75" customHeight="1"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0:18" ht="15.75" customHeight="1"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0:18" ht="15.75" customHeight="1"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0:18" ht="15.75" customHeight="1"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0:18" ht="15.75" customHeight="1"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0:18" ht="15.75" customHeight="1"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0:18" ht="15.75" customHeight="1"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0:18" ht="15.75" customHeight="1"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0:18" ht="15.75" customHeight="1"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0:18" ht="15.75" customHeight="1"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0:18" ht="15.75" customHeight="1"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0:18" ht="15.75" customHeight="1"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0:18" ht="15.75" customHeight="1"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0:18" ht="15.75" customHeight="1">
      <c r="J993" s="40"/>
      <c r="K993" s="40"/>
      <c r="L993" s="40"/>
      <c r="M993" s="40"/>
      <c r="N993" s="40"/>
      <c r="O993" s="40"/>
      <c r="P993" s="40"/>
      <c r="Q993" s="40"/>
      <c r="R993" s="40"/>
    </row>
    <row r="994" spans="10:18" ht="15.75" customHeight="1">
      <c r="J994" s="40"/>
      <c r="K994" s="40"/>
      <c r="L994" s="40"/>
      <c r="M994" s="40"/>
      <c r="N994" s="40"/>
      <c r="O994" s="40"/>
      <c r="P994" s="40"/>
      <c r="Q994" s="40"/>
      <c r="R994" s="40"/>
    </row>
    <row r="995" spans="10:18" ht="15.75" customHeight="1">
      <c r="J995" s="40"/>
      <c r="K995" s="40"/>
      <c r="L995" s="40"/>
      <c r="M995" s="40"/>
      <c r="N995" s="40"/>
      <c r="O995" s="40"/>
      <c r="P995" s="40"/>
      <c r="Q995" s="40"/>
      <c r="R995" s="40"/>
    </row>
    <row r="996" spans="10:18" ht="15.75" customHeight="1">
      <c r="J996" s="40"/>
      <c r="K996" s="40"/>
      <c r="L996" s="40"/>
      <c r="M996" s="40"/>
      <c r="N996" s="40"/>
      <c r="O996" s="40"/>
      <c r="P996" s="40"/>
      <c r="Q996" s="40"/>
      <c r="R996" s="40"/>
    </row>
    <row r="997" spans="10:18" ht="15.75" customHeight="1">
      <c r="J997" s="40"/>
      <c r="K997" s="40"/>
      <c r="L997" s="40"/>
      <c r="M997" s="40"/>
      <c r="N997" s="40"/>
      <c r="O997" s="40"/>
      <c r="P997" s="40"/>
      <c r="Q997" s="40"/>
      <c r="R997" s="40"/>
    </row>
    <row r="998" spans="10:18" ht="15.75" customHeight="1">
      <c r="J998" s="40"/>
      <c r="K998" s="40"/>
      <c r="L998" s="40"/>
      <c r="M998" s="40"/>
      <c r="N998" s="40"/>
      <c r="O998" s="40"/>
      <c r="P998" s="40"/>
      <c r="Q998" s="40"/>
      <c r="R998" s="40"/>
    </row>
    <row r="999" spans="10:18" ht="15.75" customHeight="1">
      <c r="J999" s="40"/>
      <c r="K999" s="40"/>
      <c r="L999" s="40"/>
      <c r="M999" s="40"/>
      <c r="N999" s="40"/>
      <c r="O999" s="40"/>
      <c r="P999" s="40"/>
      <c r="Q999" s="40"/>
      <c r="R999" s="40"/>
    </row>
    <row r="1000" spans="10:18" ht="15.75" customHeight="1">
      <c r="J1000" s="40"/>
      <c r="K1000" s="40"/>
      <c r="L1000" s="40"/>
      <c r="M1000" s="40"/>
      <c r="N1000" s="40"/>
      <c r="O1000" s="40"/>
      <c r="P1000" s="40"/>
      <c r="Q1000" s="40"/>
      <c r="R1000" s="40"/>
    </row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Z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45.25" customWidth="1"/>
    <col min="5" max="7" width="8.625" customWidth="1"/>
    <col min="8" max="9" width="2.125" customWidth="1"/>
    <col min="10" max="10" width="11.875" customWidth="1"/>
    <col min="11" max="13" width="13.625" customWidth="1"/>
    <col min="14" max="15" width="14.625" customWidth="1"/>
    <col min="16" max="18" width="14.25" customWidth="1"/>
    <col min="19" max="19" width="9.75" customWidth="1"/>
    <col min="20" max="26" width="8.625" customWidth="1"/>
  </cols>
  <sheetData>
    <row r="1" spans="1:26" ht="7.5" customHeight="1">
      <c r="J1" s="40"/>
      <c r="K1" s="40"/>
      <c r="L1" s="40"/>
      <c r="M1" s="40"/>
      <c r="N1" s="40"/>
      <c r="O1" s="40"/>
      <c r="P1" s="40"/>
      <c r="Q1" s="40"/>
      <c r="R1" s="40"/>
    </row>
    <row r="2" spans="1:26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41"/>
      <c r="K2" s="41"/>
      <c r="L2" s="41"/>
      <c r="M2" s="41"/>
      <c r="N2" s="41"/>
      <c r="O2" s="41"/>
      <c r="P2" s="41"/>
      <c r="Q2" s="41"/>
      <c r="R2" s="41"/>
      <c r="S2" s="1"/>
    </row>
    <row r="3" spans="1:26" ht="18">
      <c r="A3" s="1"/>
      <c r="B3" s="1"/>
      <c r="C3" s="3" t="s">
        <v>64</v>
      </c>
      <c r="D3" s="1"/>
      <c r="E3" s="1"/>
      <c r="F3" s="1"/>
      <c r="G3" s="1"/>
      <c r="H3" s="1"/>
      <c r="I3" s="1"/>
      <c r="J3" s="41"/>
      <c r="K3" s="41"/>
      <c r="L3" s="41"/>
      <c r="M3" s="41"/>
      <c r="N3" s="41"/>
      <c r="O3" s="41"/>
      <c r="P3" s="41"/>
      <c r="Q3" s="41"/>
      <c r="R3" s="41"/>
      <c r="S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41"/>
      <c r="K4" s="41"/>
      <c r="L4" s="41"/>
      <c r="M4" s="41"/>
      <c r="N4" s="41"/>
      <c r="O4" s="41"/>
      <c r="P4" s="41"/>
      <c r="Q4" s="41"/>
      <c r="R4" s="41"/>
      <c r="S4" s="1"/>
    </row>
    <row r="5" spans="1:26">
      <c r="D5" s="42" t="str">
        <f>"Balance sheet check: " &amp;BSCheck</f>
        <v>Balance sheet check: OK</v>
      </c>
      <c r="I5" s="43" t="s">
        <v>56</v>
      </c>
      <c r="J5" s="44"/>
      <c r="K5" s="44">
        <f t="shared" ref="K5:R5" si="0">J6+1</f>
        <v>44562</v>
      </c>
      <c r="L5" s="44">
        <f t="shared" si="0"/>
        <v>44927</v>
      </c>
      <c r="M5" s="44">
        <f t="shared" si="0"/>
        <v>45292</v>
      </c>
      <c r="N5" s="44">
        <f t="shared" si="0"/>
        <v>45658</v>
      </c>
      <c r="O5" s="44">
        <f t="shared" si="0"/>
        <v>46023</v>
      </c>
      <c r="P5" s="44">
        <f t="shared" si="0"/>
        <v>46388</v>
      </c>
      <c r="Q5" s="44">
        <f t="shared" si="0"/>
        <v>46753</v>
      </c>
      <c r="R5" s="44">
        <f t="shared" si="0"/>
        <v>47119</v>
      </c>
      <c r="S5" s="9"/>
    </row>
    <row r="6" spans="1:26">
      <c r="D6" s="42" t="str">
        <f t="array" ref="D6">livescenario</f>
        <v>Live Scenario: Base case</v>
      </c>
      <c r="I6" s="43" t="s">
        <v>57</v>
      </c>
      <c r="J6" s="45">
        <f>Guide!E14-1</f>
        <v>44561</v>
      </c>
      <c r="K6" s="44">
        <f t="shared" ref="K6:R6" si="1">EOMONTH(K5,11)</f>
        <v>44926</v>
      </c>
      <c r="L6" s="44">
        <f t="shared" si="1"/>
        <v>45291</v>
      </c>
      <c r="M6" s="44">
        <f t="shared" si="1"/>
        <v>45657</v>
      </c>
      <c r="N6" s="44">
        <f t="shared" si="1"/>
        <v>46022</v>
      </c>
      <c r="O6" s="44">
        <f t="shared" si="1"/>
        <v>46387</v>
      </c>
      <c r="P6" s="44">
        <f t="shared" si="1"/>
        <v>46752</v>
      </c>
      <c r="Q6" s="44">
        <f t="shared" si="1"/>
        <v>47118</v>
      </c>
      <c r="R6" s="44">
        <f t="shared" si="1"/>
        <v>47483</v>
      </c>
      <c r="S6" s="9"/>
    </row>
    <row r="7" spans="1:26" ht="6" customHeight="1">
      <c r="J7" s="40"/>
      <c r="K7" s="40"/>
      <c r="L7" s="40"/>
      <c r="M7" s="40"/>
      <c r="N7" s="40"/>
      <c r="O7" s="40"/>
      <c r="P7" s="40"/>
      <c r="Q7" s="40"/>
      <c r="R7" s="40"/>
    </row>
    <row r="8" spans="1:26" ht="14.25">
      <c r="A8" s="18"/>
      <c r="B8" s="18"/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18"/>
      <c r="I8" s="18"/>
      <c r="J8" s="46"/>
      <c r="K8" s="46" t="s">
        <v>62</v>
      </c>
      <c r="L8" s="46" t="s">
        <v>62</v>
      </c>
      <c r="M8" s="46" t="s">
        <v>62</v>
      </c>
      <c r="N8" s="46" t="s">
        <v>62</v>
      </c>
      <c r="O8" s="46" t="s">
        <v>63</v>
      </c>
      <c r="P8" s="46" t="s">
        <v>63</v>
      </c>
      <c r="Q8" s="46" t="s">
        <v>63</v>
      </c>
      <c r="R8" s="46" t="s">
        <v>63</v>
      </c>
      <c r="S8" s="18"/>
      <c r="T8" s="18"/>
      <c r="U8" s="18"/>
      <c r="V8" s="18"/>
      <c r="W8" s="18"/>
      <c r="X8" s="18"/>
      <c r="Y8" s="18"/>
      <c r="Z8" s="18"/>
    </row>
    <row r="9" spans="1:26" ht="14.25">
      <c r="J9" s="40"/>
      <c r="K9" s="40"/>
      <c r="L9" s="40"/>
      <c r="M9" s="40"/>
      <c r="N9" s="40"/>
      <c r="O9" s="40"/>
      <c r="P9" s="40"/>
      <c r="Q9" s="40"/>
      <c r="R9" s="40"/>
    </row>
    <row r="10" spans="1:26" ht="14.25">
      <c r="D10" s="6" t="s">
        <v>263</v>
      </c>
      <c r="J10" s="40"/>
      <c r="K10" s="40"/>
      <c r="L10" s="40">
        <v>3607593</v>
      </c>
      <c r="M10" s="40">
        <v>4398963</v>
      </c>
      <c r="N10" s="40">
        <v>9883576</v>
      </c>
      <c r="O10" s="40"/>
      <c r="P10" s="40"/>
      <c r="Q10" s="40"/>
      <c r="R10" s="40"/>
    </row>
    <row r="11" spans="1:26" ht="14.25">
      <c r="D11" s="6" t="s">
        <v>264</v>
      </c>
      <c r="J11" s="40"/>
      <c r="K11" s="40"/>
      <c r="L11" s="40" t="str">
        <f t="shared" ref="L11:N11" si="2">IF(L10=L30, "OK", L10-L30)</f>
        <v>OK</v>
      </c>
      <c r="M11" s="40" t="str">
        <f t="shared" si="2"/>
        <v>OK</v>
      </c>
      <c r="N11" s="40" t="str">
        <f t="shared" si="2"/>
        <v>OK</v>
      </c>
      <c r="O11" s="40"/>
      <c r="P11" s="40"/>
      <c r="Q11" s="40"/>
      <c r="R11" s="40"/>
    </row>
    <row r="12" spans="1:26" ht="14.25">
      <c r="J12" s="40"/>
      <c r="K12" s="40"/>
      <c r="L12" s="40"/>
      <c r="M12" s="40"/>
      <c r="N12" s="40"/>
      <c r="O12" s="40"/>
      <c r="P12" s="40"/>
      <c r="Q12" s="40"/>
      <c r="R12" s="40"/>
    </row>
    <row r="13" spans="1:26" ht="14.25">
      <c r="D13" s="6" t="s">
        <v>227</v>
      </c>
      <c r="E13" s="25" t="str">
        <f t="shared" ref="E13:E30" si="3">currency</f>
        <v>(₦'000)</v>
      </c>
      <c r="J13" s="40"/>
      <c r="K13" s="40">
        <f>Historical!K11</f>
        <v>40634143</v>
      </c>
      <c r="L13" s="40">
        <f>Historical!L11</f>
        <v>53050354</v>
      </c>
      <c r="M13" s="40">
        <f>Historical!M11</f>
        <v>84189000</v>
      </c>
      <c r="N13" s="40">
        <f>Historical!N11</f>
        <v>119061254</v>
      </c>
      <c r="O13" s="40">
        <f>Calculation!O12</f>
        <v>170921911.45634604</v>
      </c>
      <c r="P13" s="40">
        <f>Calculation!P12</f>
        <v>234163018.6951941</v>
      </c>
      <c r="Q13" s="40">
        <f>Calculation!Q12</f>
        <v>306753554.4907043</v>
      </c>
      <c r="R13" s="40">
        <f>Calculation!R12</f>
        <v>383441943.11338037</v>
      </c>
    </row>
    <row r="14" spans="1:26" ht="14.25">
      <c r="D14" s="6" t="s">
        <v>173</v>
      </c>
      <c r="E14" s="25" t="str">
        <f t="shared" si="3"/>
        <v>(₦'000)</v>
      </c>
      <c r="J14" s="40"/>
      <c r="K14" s="40">
        <f>Historical!K82</f>
        <v>0</v>
      </c>
      <c r="L14" s="40">
        <f>Historical!L82</f>
        <v>29600790</v>
      </c>
      <c r="M14" s="40">
        <f>Historical!M82</f>
        <v>46089425</v>
      </c>
      <c r="N14" s="40">
        <f>Historical!N82</f>
        <v>66296769</v>
      </c>
      <c r="O14" s="40">
        <f>Calculation!O15</f>
        <v>94705341.444939122</v>
      </c>
      <c r="P14" s="40">
        <f>Calculation!P15</f>
        <v>129746317.7795666</v>
      </c>
      <c r="Q14" s="40">
        <f>Calculation!Q15</f>
        <v>169967676.29123226</v>
      </c>
      <c r="R14" s="40">
        <f>Calculation!R15</f>
        <v>212459595.36404034</v>
      </c>
    </row>
    <row r="15" spans="1:26">
      <c r="A15" s="19"/>
      <c r="B15" s="19"/>
      <c r="C15" s="19"/>
      <c r="D15" s="83" t="s">
        <v>67</v>
      </c>
      <c r="E15" s="83" t="str">
        <f t="shared" si="3"/>
        <v>(₦'000)</v>
      </c>
      <c r="F15" s="83"/>
      <c r="G15" s="83"/>
      <c r="H15" s="83"/>
      <c r="I15" s="83"/>
      <c r="J15" s="84"/>
      <c r="K15" s="84"/>
      <c r="L15" s="84">
        <f t="shared" ref="L15:R15" si="4">L13-L14</f>
        <v>23449564</v>
      </c>
      <c r="M15" s="84">
        <f t="shared" si="4"/>
        <v>38099575</v>
      </c>
      <c r="N15" s="84">
        <f t="shared" si="4"/>
        <v>52764485</v>
      </c>
      <c r="O15" s="84">
        <f t="shared" si="4"/>
        <v>76216570.011406913</v>
      </c>
      <c r="P15" s="84">
        <f t="shared" si="4"/>
        <v>104416700.91562749</v>
      </c>
      <c r="Q15" s="84">
        <f t="shared" si="4"/>
        <v>136785878.19947204</v>
      </c>
      <c r="R15" s="84">
        <f t="shared" si="4"/>
        <v>170982347.74934003</v>
      </c>
      <c r="S15" s="19"/>
      <c r="T15" s="19"/>
      <c r="U15" s="19"/>
      <c r="V15" s="19"/>
      <c r="W15" s="19"/>
      <c r="X15" s="19"/>
      <c r="Y15" s="19"/>
      <c r="Z15" s="19"/>
    </row>
    <row r="16" spans="1:26" ht="14.25">
      <c r="D16" s="6" t="s">
        <v>176</v>
      </c>
      <c r="E16" s="25" t="str">
        <f t="shared" si="3"/>
        <v>(₦'000)</v>
      </c>
      <c r="J16" s="40"/>
      <c r="K16" s="40"/>
      <c r="L16" s="40">
        <f>Historical!L14</f>
        <v>497066</v>
      </c>
      <c r="M16" s="40">
        <f>Historical!M14</f>
        <v>611871</v>
      </c>
      <c r="N16" s="40">
        <f>Historical!N14</f>
        <v>887547</v>
      </c>
      <c r="O16" s="40">
        <f>Calculation!O18</f>
        <v>1372620.8177288007</v>
      </c>
      <c r="P16" s="40">
        <f>Calculation!P18</f>
        <v>1880490.5202884574</v>
      </c>
      <c r="Q16" s="40">
        <f>Calculation!Q18</f>
        <v>2463442.5815778794</v>
      </c>
      <c r="R16" s="40">
        <f>Calculation!R18</f>
        <v>3079303.226972349</v>
      </c>
    </row>
    <row r="17" spans="1:26" ht="14.25">
      <c r="D17" s="56" t="s">
        <v>265</v>
      </c>
      <c r="E17" s="25" t="str">
        <f t="shared" si="3"/>
        <v>(₦'000)</v>
      </c>
      <c r="J17" s="40"/>
      <c r="K17" s="40"/>
      <c r="L17" s="40">
        <f>Historical!L18</f>
        <v>5549848</v>
      </c>
      <c r="M17" s="40">
        <f>Historical!M18</f>
        <v>8119539</v>
      </c>
      <c r="N17" s="40">
        <f>Historical!N18</f>
        <v>9623801</v>
      </c>
      <c r="O17" s="40">
        <f>Calculation!O19</f>
        <v>16060368.10215239</v>
      </c>
      <c r="P17" s="40">
        <f>Calculation!P19</f>
        <v>22002704.299948778</v>
      </c>
      <c r="Q17" s="40">
        <f>Calculation!Q19</f>
        <v>28823542.632932901</v>
      </c>
      <c r="R17" s="40">
        <f>Calculation!R19</f>
        <v>36029428.291166127</v>
      </c>
    </row>
    <row r="18" spans="1:26" ht="14.25">
      <c r="D18" s="6" t="s">
        <v>69</v>
      </c>
      <c r="E18" s="25" t="str">
        <f t="shared" si="3"/>
        <v>(₦'000)</v>
      </c>
      <c r="J18" s="40"/>
      <c r="K18" s="40"/>
      <c r="L18" s="40">
        <f>Historical!L88</f>
        <v>7644749</v>
      </c>
      <c r="M18" s="40">
        <f>Historical!M88</f>
        <v>10039666</v>
      </c>
      <c r="N18" s="40">
        <f>Historical!N88</f>
        <v>13695639</v>
      </c>
      <c r="O18" s="40">
        <f>Calculation!O20</f>
        <v>21558115.651082091</v>
      </c>
      <c r="P18" s="40">
        <f>Calculation!P20</f>
        <v>29534618.441982467</v>
      </c>
      <c r="Q18" s="40">
        <f>Calculation!Q20</f>
        <v>38690350.158997037</v>
      </c>
      <c r="R18" s="40">
        <f>Calculation!R20</f>
        <v>48362937.698746294</v>
      </c>
    </row>
    <row r="19" spans="1:26">
      <c r="A19" s="83"/>
      <c r="B19" s="83"/>
      <c r="C19" s="83"/>
      <c r="D19" s="83" t="s">
        <v>266</v>
      </c>
      <c r="E19" s="83" t="str">
        <f t="shared" si="3"/>
        <v>(₦'000)</v>
      </c>
      <c r="F19" s="83"/>
      <c r="G19" s="83"/>
      <c r="H19" s="83"/>
      <c r="I19" s="83"/>
      <c r="J19" s="84"/>
      <c r="K19" s="84"/>
      <c r="L19" s="84">
        <f t="shared" ref="L19:R19" si="5">L15+L16-L17-L18</f>
        <v>10752033</v>
      </c>
      <c r="M19" s="84">
        <f t="shared" si="5"/>
        <v>20552241</v>
      </c>
      <c r="N19" s="84">
        <f t="shared" si="5"/>
        <v>30332592</v>
      </c>
      <c r="O19" s="84">
        <f t="shared" si="5"/>
        <v>39970707.075901233</v>
      </c>
      <c r="P19" s="84">
        <f t="shared" si="5"/>
        <v>54759868.693984702</v>
      </c>
      <c r="Q19" s="84">
        <f t="shared" si="5"/>
        <v>71735427.989119977</v>
      </c>
      <c r="R19" s="84">
        <f t="shared" si="5"/>
        <v>89669284.986399949</v>
      </c>
      <c r="S19" s="83"/>
      <c r="T19" s="83"/>
      <c r="U19" s="83"/>
      <c r="V19" s="83"/>
      <c r="W19" s="83"/>
      <c r="X19" s="83"/>
      <c r="Y19" s="83"/>
      <c r="Z19" s="83"/>
    </row>
    <row r="20" spans="1:26" ht="14.25">
      <c r="D20" s="6" t="str">
        <f>Historical!D91</f>
        <v>Depreciation of PPE</v>
      </c>
      <c r="E20" s="25" t="str">
        <f t="shared" si="3"/>
        <v>(₦'000)</v>
      </c>
      <c r="J20" s="40"/>
      <c r="K20" s="51"/>
      <c r="L20" s="40">
        <f>Historical!L91</f>
        <v>1127156</v>
      </c>
      <c r="M20" s="40">
        <f>Historical!M91</f>
        <v>1496671</v>
      </c>
      <c r="N20" s="40">
        <f>Historical!N91</f>
        <v>1948477</v>
      </c>
      <c r="O20" s="40">
        <f>Calculation!O33</f>
        <v>2074606.5385025337</v>
      </c>
      <c r="P20" s="40">
        <f>Calculation!P33</f>
        <v>2088518.2771853027</v>
      </c>
      <c r="Q20" s="40">
        <f>Calculation!Q33</f>
        <v>2102523.304146878</v>
      </c>
      <c r="R20" s="40">
        <f>Calculation!R33</f>
        <v>2116622.2449527024</v>
      </c>
    </row>
    <row r="21" spans="1:26" ht="15.75" customHeight="1">
      <c r="D21" s="6" t="str">
        <f>Historical!D92</f>
        <v>Depreciation in Right of use Asset</v>
      </c>
      <c r="E21" s="25" t="str">
        <f t="shared" si="3"/>
        <v>(₦'000)</v>
      </c>
      <c r="J21" s="40"/>
      <c r="K21" s="51"/>
      <c r="L21" s="40">
        <f>Historical!L92</f>
        <v>57690</v>
      </c>
      <c r="M21" s="40">
        <f>Historical!M92</f>
        <v>35384</v>
      </c>
      <c r="N21" s="40">
        <f>Historical!N92</f>
        <v>0</v>
      </c>
      <c r="O21" s="40">
        <f>Calculation!O39</f>
        <v>0</v>
      </c>
      <c r="P21" s="40">
        <f>Calculation!P39</f>
        <v>0</v>
      </c>
      <c r="Q21" s="40">
        <f>Calculation!Q39</f>
        <v>0</v>
      </c>
      <c r="R21" s="40">
        <f>Calculation!R39</f>
        <v>0</v>
      </c>
    </row>
    <row r="22" spans="1:26" ht="15.75" customHeight="1">
      <c r="D22" s="6" t="str">
        <f>Historical!D93</f>
        <v>Amortization of Intangible Assets</v>
      </c>
      <c r="E22" s="25" t="str">
        <f t="shared" si="3"/>
        <v>(₦'000)</v>
      </c>
      <c r="J22" s="40"/>
      <c r="K22" s="51"/>
      <c r="L22" s="40">
        <f>Historical!L93</f>
        <v>81891</v>
      </c>
      <c r="M22" s="40">
        <f>Historical!M93</f>
        <v>135595</v>
      </c>
      <c r="N22" s="40">
        <f>Historical!N93</f>
        <v>290367</v>
      </c>
      <c r="O22" s="40">
        <f>Calculation!O45</f>
        <v>1049401.453934649</v>
      </c>
      <c r="P22" s="40">
        <f>Calculation!P45</f>
        <v>1511652.3454997656</v>
      </c>
      <c r="Q22" s="40">
        <f>Calculation!Q45</f>
        <v>2177520.152165947</v>
      </c>
      <c r="R22" s="40">
        <f>Calculation!R45</f>
        <v>3136696.0976210423</v>
      </c>
    </row>
    <row r="23" spans="1:26" ht="15.75" customHeight="1">
      <c r="A23" s="83"/>
      <c r="B23" s="83"/>
      <c r="C23" s="83"/>
      <c r="D23" s="83" t="s">
        <v>267</v>
      </c>
      <c r="E23" s="83" t="str">
        <f t="shared" si="3"/>
        <v>(₦'000)</v>
      </c>
      <c r="F23" s="83"/>
      <c r="G23" s="83"/>
      <c r="H23" s="83"/>
      <c r="I23" s="83"/>
      <c r="J23" s="84"/>
      <c r="K23" s="84"/>
      <c r="L23" s="84">
        <f t="shared" ref="L23:R23" si="6">L19-L20-L21-L22</f>
        <v>9485296</v>
      </c>
      <c r="M23" s="84">
        <f t="shared" si="6"/>
        <v>18884591</v>
      </c>
      <c r="N23" s="84">
        <f t="shared" si="6"/>
        <v>28093748</v>
      </c>
      <c r="O23" s="84">
        <f t="shared" si="6"/>
        <v>36846699.083464049</v>
      </c>
      <c r="P23" s="84">
        <f t="shared" si="6"/>
        <v>51159698.071299627</v>
      </c>
      <c r="Q23" s="84">
        <f t="shared" si="6"/>
        <v>67455384.532807156</v>
      </c>
      <c r="R23" s="84">
        <f t="shared" si="6"/>
        <v>84415966.643826202</v>
      </c>
      <c r="S23" s="83"/>
      <c r="T23" s="83"/>
      <c r="U23" s="83"/>
      <c r="V23" s="83"/>
      <c r="W23" s="83"/>
      <c r="X23" s="83"/>
      <c r="Y23" s="83"/>
      <c r="Z23" s="83"/>
    </row>
    <row r="24" spans="1:26" ht="15.75" customHeight="1">
      <c r="D24" s="6" t="s">
        <v>230</v>
      </c>
      <c r="E24" s="25" t="str">
        <f t="shared" si="3"/>
        <v>(₦'000)</v>
      </c>
      <c r="J24" s="40"/>
      <c r="K24" s="40"/>
      <c r="L24" s="40">
        <f>Historical!L17</f>
        <v>1261246</v>
      </c>
      <c r="M24" s="40">
        <f>Historical!M17</f>
        <v>5448891</v>
      </c>
      <c r="N24" s="40">
        <f>Historical!N17</f>
        <v>6012067</v>
      </c>
      <c r="O24" s="40">
        <f>Calculation!O23</f>
        <v>5730479</v>
      </c>
      <c r="P24" s="40">
        <f>Calculation!P23</f>
        <v>5730479</v>
      </c>
      <c r="Q24" s="40">
        <f>Calculation!Q23</f>
        <v>5730479</v>
      </c>
      <c r="R24" s="40">
        <f>Calculation!R23</f>
        <v>5730479</v>
      </c>
    </row>
    <row r="25" spans="1:26" ht="15.75" customHeight="1">
      <c r="D25" s="6" t="str">
        <f>Historical!D16</f>
        <v>Impairment of receivables</v>
      </c>
      <c r="E25" s="25" t="str">
        <f t="shared" si="3"/>
        <v>(₦'000)</v>
      </c>
      <c r="J25" s="40"/>
      <c r="K25" s="40"/>
      <c r="L25" s="40">
        <f>Historical!L16</f>
        <v>227781</v>
      </c>
      <c r="M25" s="40">
        <f>Historical!M16</f>
        <v>301440</v>
      </c>
      <c r="N25" s="40">
        <f>Historical!N16</f>
        <v>133069</v>
      </c>
      <c r="O25" s="40">
        <f>Calculation!O24</f>
        <v>217254.5</v>
      </c>
      <c r="P25" s="40">
        <f>Calculation!P24</f>
        <v>217254.5</v>
      </c>
      <c r="Q25" s="40">
        <f>Calculation!Q24</f>
        <v>217254.5</v>
      </c>
      <c r="R25" s="40">
        <f>Calculation!R24</f>
        <v>217254.5</v>
      </c>
    </row>
    <row r="26" spans="1:26" ht="15.75" customHeight="1">
      <c r="D26" s="6" t="s">
        <v>75</v>
      </c>
      <c r="E26" s="25" t="str">
        <f t="shared" si="3"/>
        <v>(₦'000)</v>
      </c>
      <c r="J26" s="40"/>
      <c r="K26" s="40"/>
      <c r="L26" s="40">
        <f>Historical!L21</f>
        <v>23008</v>
      </c>
      <c r="M26" s="40">
        <f>Historical!M21</f>
        <v>60022</v>
      </c>
      <c r="N26" s="40">
        <f>Historical!N21</f>
        <v>144315</v>
      </c>
      <c r="O26" s="40">
        <f>Calculation!O127</f>
        <v>179574.24599109867</v>
      </c>
      <c r="P26" s="40">
        <f>Calculation!P127</f>
        <v>76239.093079417915</v>
      </c>
      <c r="Q26" s="40">
        <f>Calculation!Q127</f>
        <v>76239.093079417915</v>
      </c>
      <c r="R26" s="40">
        <f>Calculation!R127</f>
        <v>76239.093079417915</v>
      </c>
    </row>
    <row r="27" spans="1:26" ht="15.75" customHeight="1">
      <c r="D27" s="6" t="s">
        <v>74</v>
      </c>
      <c r="E27" s="25" t="str">
        <f t="shared" si="3"/>
        <v>(₦'000)</v>
      </c>
      <c r="J27" s="40"/>
      <c r="K27" s="40"/>
      <c r="L27" s="40">
        <f>Historical!L20</f>
        <v>2101868</v>
      </c>
      <c r="M27" s="40">
        <f>Historical!M20</f>
        <v>5493822</v>
      </c>
      <c r="N27" s="40">
        <f>Historical!N20</f>
        <v>7130319</v>
      </c>
      <c r="O27" s="40">
        <f>Calculation!O27</f>
        <v>7288421.1301925974</v>
      </c>
      <c r="P27" s="40">
        <f>Calculation!P27</f>
        <v>9683216.4014802892</v>
      </c>
      <c r="Q27" s="40">
        <f>Calculation!Q27</f>
        <v>11552746.828957649</v>
      </c>
      <c r="R27" s="40">
        <f>Calculation!R27</f>
        <v>12734445.593868628</v>
      </c>
    </row>
    <row r="28" spans="1:26" ht="15.75" customHeight="1">
      <c r="A28" s="83"/>
      <c r="B28" s="83"/>
      <c r="C28" s="83"/>
      <c r="D28" s="83" t="s">
        <v>76</v>
      </c>
      <c r="E28" s="83" t="str">
        <f t="shared" si="3"/>
        <v>(₦'000)</v>
      </c>
      <c r="F28" s="83"/>
      <c r="G28" s="83"/>
      <c r="H28" s="83"/>
      <c r="I28" s="83"/>
      <c r="J28" s="84"/>
      <c r="K28" s="84"/>
      <c r="L28" s="84">
        <f t="shared" ref="L28:R28" si="7">L23-L24-L25+L26-L27</f>
        <v>5917409</v>
      </c>
      <c r="M28" s="84">
        <f t="shared" si="7"/>
        <v>7700460</v>
      </c>
      <c r="N28" s="84">
        <f t="shared" si="7"/>
        <v>14962608</v>
      </c>
      <c r="O28" s="84">
        <f t="shared" si="7"/>
        <v>23790118.699262552</v>
      </c>
      <c r="P28" s="84">
        <f t="shared" si="7"/>
        <v>35604987.262898758</v>
      </c>
      <c r="Q28" s="84">
        <f t="shared" si="7"/>
        <v>50031143.296928927</v>
      </c>
      <c r="R28" s="84">
        <f t="shared" si="7"/>
        <v>65810026.643036991</v>
      </c>
      <c r="S28" s="83"/>
      <c r="T28" s="83"/>
      <c r="U28" s="83"/>
      <c r="V28" s="83"/>
      <c r="W28" s="83"/>
      <c r="X28" s="83"/>
      <c r="Y28" s="83"/>
      <c r="Z28" s="83"/>
    </row>
    <row r="29" spans="1:26" ht="15.75" customHeight="1">
      <c r="D29" s="6" t="s">
        <v>77</v>
      </c>
      <c r="E29" s="25" t="str">
        <f t="shared" si="3"/>
        <v>(₦'000)</v>
      </c>
      <c r="J29" s="40"/>
      <c r="K29" s="40"/>
      <c r="L29" s="40">
        <f>Historical!L23</f>
        <v>2309816</v>
      </c>
      <c r="M29" s="40">
        <f>Historical!M23</f>
        <v>3301497</v>
      </c>
      <c r="N29" s="40">
        <f>Historical!N23</f>
        <v>5079032</v>
      </c>
      <c r="O29" s="40">
        <f>Calculation!O25</f>
        <v>9137648.2890877258</v>
      </c>
      <c r="P29" s="40">
        <f>Calculation!P25</f>
        <v>13675671.612176623</v>
      </c>
      <c r="Q29" s="40">
        <f>Calculation!Q25</f>
        <v>19216675.491512228</v>
      </c>
      <c r="R29" s="40">
        <f>Calculation!R25</f>
        <v>25277254.18109012</v>
      </c>
    </row>
    <row r="30" spans="1:26" ht="15.75" customHeight="1">
      <c r="A30" s="85"/>
      <c r="B30" s="85"/>
      <c r="C30" s="85"/>
      <c r="D30" s="85" t="s">
        <v>78</v>
      </c>
      <c r="E30" s="85" t="str">
        <f t="shared" si="3"/>
        <v>(₦'000)</v>
      </c>
      <c r="F30" s="85"/>
      <c r="G30" s="85"/>
      <c r="H30" s="85"/>
      <c r="I30" s="85"/>
      <c r="J30" s="86"/>
      <c r="K30" s="86"/>
      <c r="L30" s="86">
        <f t="shared" ref="L30:R30" si="8">L28-L29</f>
        <v>3607593</v>
      </c>
      <c r="M30" s="86">
        <f t="shared" si="8"/>
        <v>4398963</v>
      </c>
      <c r="N30" s="86">
        <f t="shared" si="8"/>
        <v>9883576</v>
      </c>
      <c r="O30" s="86">
        <f t="shared" si="8"/>
        <v>14652470.410174826</v>
      </c>
      <c r="P30" s="86">
        <f t="shared" si="8"/>
        <v>21929315.650722135</v>
      </c>
      <c r="Q30" s="86">
        <f t="shared" si="8"/>
        <v>30814467.805416699</v>
      </c>
      <c r="R30" s="86">
        <f t="shared" si="8"/>
        <v>40532772.461946875</v>
      </c>
      <c r="S30" s="85"/>
      <c r="T30" s="85"/>
      <c r="U30" s="85"/>
      <c r="V30" s="85"/>
      <c r="W30" s="85"/>
      <c r="X30" s="85"/>
      <c r="Y30" s="85"/>
      <c r="Z30" s="85"/>
    </row>
    <row r="31" spans="1:26" ht="15.75" customHeight="1">
      <c r="J31" s="40"/>
      <c r="K31" s="40"/>
      <c r="L31" s="40"/>
      <c r="M31" s="40"/>
      <c r="N31" s="40"/>
      <c r="O31" s="40"/>
      <c r="P31" s="40"/>
      <c r="Q31" s="40"/>
      <c r="R31" s="40"/>
    </row>
    <row r="32" spans="1:26" ht="15.75" customHeight="1">
      <c r="J32" s="40"/>
      <c r="K32" s="40"/>
      <c r="L32" s="40"/>
      <c r="M32" s="40"/>
      <c r="N32" s="40"/>
      <c r="O32" s="40"/>
      <c r="P32" s="40"/>
      <c r="Q32" s="40"/>
      <c r="R32" s="40"/>
    </row>
    <row r="33" spans="10:18" ht="15.75" customHeight="1">
      <c r="J33" s="40"/>
      <c r="K33" s="40"/>
      <c r="L33" s="40"/>
      <c r="M33" s="40"/>
      <c r="N33" s="40"/>
      <c r="O33" s="40"/>
      <c r="P33" s="40"/>
      <c r="Q33" s="40"/>
      <c r="R33" s="40"/>
    </row>
    <row r="34" spans="10:18" ht="15.75" customHeight="1">
      <c r="J34" s="40"/>
      <c r="K34" s="40"/>
      <c r="L34" s="40"/>
      <c r="M34" s="40"/>
      <c r="N34" s="40"/>
      <c r="O34" s="40"/>
      <c r="P34" s="40"/>
      <c r="Q34" s="40"/>
      <c r="R34" s="40"/>
    </row>
    <row r="35" spans="10:18" ht="15.75" customHeight="1">
      <c r="J35" s="40"/>
      <c r="K35" s="40"/>
      <c r="L35" s="40"/>
      <c r="M35" s="40"/>
      <c r="N35" s="40"/>
      <c r="O35" s="40"/>
      <c r="P35" s="40"/>
      <c r="Q35" s="40"/>
      <c r="R35" s="40"/>
    </row>
    <row r="36" spans="10:18" ht="15.75" customHeight="1">
      <c r="J36" s="40"/>
      <c r="K36" s="40"/>
      <c r="L36" s="40"/>
      <c r="M36" s="40"/>
      <c r="N36" s="40"/>
      <c r="O36" s="40"/>
      <c r="P36" s="40"/>
      <c r="Q36" s="40"/>
      <c r="R36" s="40"/>
    </row>
    <row r="37" spans="10:18" ht="15.75" customHeight="1">
      <c r="J37" s="40"/>
      <c r="K37" s="40"/>
      <c r="L37" s="40"/>
      <c r="M37" s="40"/>
      <c r="N37" s="40"/>
      <c r="O37" s="40"/>
      <c r="P37" s="40"/>
      <c r="Q37" s="40"/>
      <c r="R37" s="40"/>
    </row>
    <row r="38" spans="10:18" ht="15.75" customHeight="1">
      <c r="J38" s="40"/>
      <c r="K38" s="40"/>
      <c r="L38" s="40"/>
      <c r="M38" s="40"/>
      <c r="N38" s="40"/>
      <c r="O38" s="40"/>
      <c r="P38" s="40"/>
      <c r="Q38" s="40"/>
      <c r="R38" s="40"/>
    </row>
    <row r="39" spans="10:18" ht="15.75" customHeight="1">
      <c r="J39" s="40"/>
      <c r="K39" s="40"/>
      <c r="L39" s="40"/>
      <c r="M39" s="40"/>
      <c r="N39" s="40"/>
      <c r="O39" s="40"/>
      <c r="P39" s="40"/>
      <c r="Q39" s="40"/>
      <c r="R39" s="40"/>
    </row>
    <row r="40" spans="10:18" ht="15.75" customHeight="1">
      <c r="J40" s="40"/>
      <c r="K40" s="40"/>
      <c r="L40" s="40"/>
      <c r="M40" s="40"/>
      <c r="N40" s="40"/>
      <c r="O40" s="40"/>
      <c r="P40" s="40"/>
      <c r="Q40" s="40"/>
      <c r="R40" s="40"/>
    </row>
    <row r="41" spans="10:18" ht="15.75" customHeight="1">
      <c r="J41" s="40"/>
      <c r="K41" s="40"/>
      <c r="L41" s="40"/>
      <c r="M41" s="40"/>
      <c r="N41" s="40"/>
      <c r="O41" s="40"/>
      <c r="P41" s="40"/>
      <c r="Q41" s="40"/>
      <c r="R41" s="40"/>
    </row>
    <row r="42" spans="10:18" ht="15.75" customHeight="1">
      <c r="J42" s="40"/>
      <c r="K42" s="40"/>
      <c r="L42" s="40"/>
      <c r="M42" s="40"/>
      <c r="N42" s="40"/>
      <c r="O42" s="40"/>
      <c r="P42" s="40"/>
      <c r="Q42" s="40"/>
      <c r="R42" s="40"/>
    </row>
    <row r="43" spans="10:18" ht="15.75" customHeight="1">
      <c r="J43" s="40"/>
      <c r="K43" s="40"/>
      <c r="L43" s="40"/>
      <c r="M43" s="40"/>
      <c r="N43" s="40"/>
      <c r="O43" s="40"/>
      <c r="P43" s="40"/>
      <c r="Q43" s="40"/>
      <c r="R43" s="40"/>
    </row>
    <row r="44" spans="10:18" ht="15.75" customHeight="1">
      <c r="J44" s="40"/>
      <c r="K44" s="40"/>
      <c r="L44" s="40"/>
      <c r="M44" s="40"/>
      <c r="N44" s="40"/>
      <c r="O44" s="40"/>
      <c r="P44" s="40"/>
      <c r="Q44" s="40"/>
      <c r="R44" s="40"/>
    </row>
    <row r="45" spans="10:18" ht="15.75" customHeight="1">
      <c r="J45" s="40"/>
      <c r="K45" s="40"/>
      <c r="L45" s="40"/>
      <c r="M45" s="40"/>
      <c r="N45" s="40"/>
      <c r="O45" s="40"/>
      <c r="P45" s="40"/>
      <c r="Q45" s="40"/>
      <c r="R45" s="40"/>
    </row>
    <row r="46" spans="10:18" ht="15.75" customHeight="1">
      <c r="J46" s="40"/>
      <c r="K46" s="40"/>
      <c r="L46" s="40"/>
      <c r="M46" s="40"/>
      <c r="N46" s="40"/>
      <c r="O46" s="40"/>
      <c r="P46" s="40"/>
      <c r="Q46" s="40"/>
      <c r="R46" s="40"/>
    </row>
    <row r="47" spans="10:18" ht="15.75" customHeight="1">
      <c r="J47" s="40"/>
      <c r="K47" s="40"/>
      <c r="L47" s="40"/>
      <c r="M47" s="40"/>
      <c r="N47" s="40"/>
      <c r="O47" s="40"/>
      <c r="P47" s="40"/>
      <c r="Q47" s="40"/>
      <c r="R47" s="40"/>
    </row>
    <row r="48" spans="10:18" ht="15.75" customHeight="1">
      <c r="J48" s="40"/>
      <c r="K48" s="40"/>
      <c r="L48" s="40"/>
      <c r="M48" s="40"/>
      <c r="N48" s="40"/>
      <c r="O48" s="40"/>
      <c r="P48" s="40"/>
      <c r="Q48" s="40"/>
      <c r="R48" s="40"/>
    </row>
    <row r="49" spans="10:18" ht="15.75" customHeight="1">
      <c r="J49" s="40"/>
      <c r="K49" s="40"/>
      <c r="L49" s="40"/>
      <c r="M49" s="40"/>
      <c r="N49" s="40"/>
      <c r="O49" s="40"/>
      <c r="P49" s="40"/>
      <c r="Q49" s="40"/>
      <c r="R49" s="40"/>
    </row>
    <row r="50" spans="10:18" ht="15.75" customHeight="1">
      <c r="J50" s="40"/>
      <c r="K50" s="40"/>
      <c r="L50" s="40"/>
      <c r="M50" s="40"/>
      <c r="N50" s="40"/>
      <c r="O50" s="40"/>
      <c r="P50" s="40"/>
      <c r="Q50" s="40"/>
      <c r="R50" s="40"/>
    </row>
    <row r="51" spans="10:18" ht="15.75" customHeight="1">
      <c r="J51" s="40"/>
      <c r="K51" s="40"/>
      <c r="L51" s="40"/>
      <c r="M51" s="40"/>
      <c r="N51" s="40"/>
      <c r="O51" s="40"/>
      <c r="P51" s="40"/>
      <c r="Q51" s="40"/>
      <c r="R51" s="40"/>
    </row>
    <row r="52" spans="10:18" ht="15.75" customHeight="1">
      <c r="J52" s="40"/>
      <c r="K52" s="40"/>
      <c r="L52" s="40"/>
      <c r="M52" s="40"/>
      <c r="N52" s="40"/>
      <c r="O52" s="40"/>
      <c r="P52" s="40"/>
      <c r="Q52" s="40"/>
      <c r="R52" s="40"/>
    </row>
    <row r="53" spans="10:18" ht="15.75" customHeight="1">
      <c r="J53" s="40"/>
      <c r="K53" s="40"/>
      <c r="L53" s="40"/>
      <c r="M53" s="40"/>
      <c r="N53" s="40"/>
      <c r="O53" s="40"/>
      <c r="P53" s="40"/>
      <c r="Q53" s="40"/>
      <c r="R53" s="40"/>
    </row>
    <row r="54" spans="10:18" ht="15.75" customHeight="1">
      <c r="J54" s="40"/>
      <c r="K54" s="40"/>
      <c r="L54" s="40"/>
      <c r="M54" s="40"/>
      <c r="N54" s="40"/>
      <c r="O54" s="40"/>
      <c r="P54" s="40"/>
      <c r="Q54" s="40"/>
      <c r="R54" s="40"/>
    </row>
    <row r="55" spans="10:18" ht="15.75" customHeight="1">
      <c r="J55" s="40"/>
      <c r="K55" s="40"/>
      <c r="L55" s="40"/>
      <c r="M55" s="40"/>
      <c r="N55" s="40"/>
      <c r="O55" s="40"/>
      <c r="P55" s="40"/>
      <c r="Q55" s="40"/>
      <c r="R55" s="40"/>
    </row>
    <row r="56" spans="10:18" ht="15.75" customHeight="1">
      <c r="J56" s="40"/>
      <c r="K56" s="40"/>
      <c r="L56" s="40"/>
      <c r="M56" s="40"/>
      <c r="N56" s="40"/>
      <c r="O56" s="40"/>
      <c r="P56" s="40"/>
      <c r="Q56" s="40"/>
      <c r="R56" s="40"/>
    </row>
    <row r="57" spans="10:18" ht="15.75" customHeight="1">
      <c r="J57" s="40"/>
      <c r="K57" s="40"/>
      <c r="L57" s="40"/>
      <c r="M57" s="40"/>
      <c r="N57" s="40"/>
      <c r="O57" s="40"/>
      <c r="P57" s="40"/>
      <c r="Q57" s="40"/>
      <c r="R57" s="40"/>
    </row>
    <row r="58" spans="10:18" ht="15.75" customHeight="1">
      <c r="J58" s="40"/>
      <c r="K58" s="40"/>
      <c r="L58" s="40"/>
      <c r="M58" s="40"/>
      <c r="N58" s="40"/>
      <c r="O58" s="40"/>
      <c r="P58" s="40"/>
      <c r="Q58" s="40"/>
      <c r="R58" s="40"/>
    </row>
    <row r="59" spans="10:18" ht="15.75" customHeight="1">
      <c r="J59" s="40"/>
      <c r="K59" s="40"/>
      <c r="L59" s="40"/>
      <c r="M59" s="40"/>
      <c r="N59" s="40"/>
      <c r="O59" s="40"/>
      <c r="P59" s="40"/>
      <c r="Q59" s="40"/>
      <c r="R59" s="40"/>
    </row>
    <row r="60" spans="10:18" ht="15.75" customHeight="1">
      <c r="J60" s="40"/>
      <c r="K60" s="40"/>
      <c r="L60" s="40"/>
      <c r="M60" s="40"/>
      <c r="N60" s="40"/>
      <c r="O60" s="40"/>
      <c r="P60" s="40"/>
      <c r="Q60" s="40"/>
      <c r="R60" s="40"/>
    </row>
    <row r="61" spans="10:18" ht="15.75" customHeight="1">
      <c r="J61" s="40"/>
      <c r="K61" s="40"/>
      <c r="L61" s="40"/>
      <c r="M61" s="40"/>
      <c r="N61" s="40"/>
      <c r="O61" s="40"/>
      <c r="P61" s="40"/>
      <c r="Q61" s="40"/>
      <c r="R61" s="40"/>
    </row>
    <row r="62" spans="10:18" ht="15.75" customHeight="1">
      <c r="J62" s="40"/>
      <c r="K62" s="40"/>
      <c r="L62" s="40"/>
      <c r="M62" s="40"/>
      <c r="N62" s="40"/>
      <c r="O62" s="40"/>
      <c r="P62" s="40"/>
      <c r="Q62" s="40"/>
      <c r="R62" s="40"/>
    </row>
    <row r="63" spans="10:18" ht="15.75" customHeight="1">
      <c r="J63" s="40"/>
      <c r="K63" s="40"/>
      <c r="L63" s="40"/>
      <c r="M63" s="40"/>
      <c r="N63" s="40"/>
      <c r="O63" s="40"/>
      <c r="P63" s="40"/>
      <c r="Q63" s="40"/>
      <c r="R63" s="40"/>
    </row>
    <row r="64" spans="10:18" ht="15.75" customHeight="1">
      <c r="J64" s="40"/>
      <c r="K64" s="40"/>
      <c r="L64" s="40"/>
      <c r="M64" s="40"/>
      <c r="N64" s="40"/>
      <c r="O64" s="40"/>
      <c r="P64" s="40"/>
      <c r="Q64" s="40"/>
      <c r="R64" s="40"/>
    </row>
    <row r="65" spans="10:18" ht="15.75" customHeight="1">
      <c r="J65" s="40"/>
      <c r="K65" s="40"/>
      <c r="L65" s="40"/>
      <c r="M65" s="40"/>
      <c r="N65" s="40"/>
      <c r="O65" s="40"/>
      <c r="P65" s="40"/>
      <c r="Q65" s="40"/>
      <c r="R65" s="40"/>
    </row>
    <row r="66" spans="10:18" ht="15.75" customHeight="1">
      <c r="J66" s="40"/>
      <c r="K66" s="40"/>
      <c r="L66" s="40"/>
      <c r="M66" s="40"/>
      <c r="N66" s="40"/>
      <c r="O66" s="40"/>
      <c r="P66" s="40"/>
      <c r="Q66" s="40"/>
      <c r="R66" s="40"/>
    </row>
    <row r="67" spans="10:18" ht="15.75" customHeight="1">
      <c r="J67" s="40"/>
      <c r="K67" s="40"/>
      <c r="L67" s="40"/>
      <c r="M67" s="40"/>
      <c r="N67" s="40"/>
      <c r="O67" s="40"/>
      <c r="P67" s="40"/>
      <c r="Q67" s="40"/>
      <c r="R67" s="40"/>
    </row>
    <row r="68" spans="10:18" ht="15.75" customHeight="1">
      <c r="J68" s="40"/>
      <c r="K68" s="40"/>
      <c r="L68" s="40"/>
      <c r="M68" s="40"/>
      <c r="N68" s="40"/>
      <c r="O68" s="40"/>
      <c r="P68" s="40"/>
      <c r="Q68" s="40"/>
      <c r="R68" s="40"/>
    </row>
    <row r="69" spans="10:18" ht="15.75" customHeight="1">
      <c r="J69" s="40"/>
      <c r="K69" s="40"/>
      <c r="L69" s="40"/>
      <c r="M69" s="40"/>
      <c r="N69" s="40"/>
      <c r="O69" s="40"/>
      <c r="P69" s="40"/>
      <c r="Q69" s="40"/>
      <c r="R69" s="40"/>
    </row>
    <row r="70" spans="10:18" ht="15.75" customHeight="1">
      <c r="J70" s="40"/>
      <c r="K70" s="40"/>
      <c r="L70" s="40"/>
      <c r="M70" s="40"/>
      <c r="N70" s="40"/>
      <c r="O70" s="40"/>
      <c r="P70" s="40"/>
      <c r="Q70" s="40"/>
      <c r="R70" s="40"/>
    </row>
    <row r="71" spans="10:18" ht="15.75" customHeight="1">
      <c r="J71" s="40"/>
      <c r="K71" s="40"/>
      <c r="L71" s="40"/>
      <c r="M71" s="40"/>
      <c r="N71" s="40"/>
      <c r="O71" s="40"/>
      <c r="P71" s="40"/>
      <c r="Q71" s="40"/>
      <c r="R71" s="40"/>
    </row>
    <row r="72" spans="10:18" ht="15.75" customHeight="1">
      <c r="J72" s="40"/>
      <c r="K72" s="40"/>
      <c r="L72" s="40"/>
      <c r="M72" s="40"/>
      <c r="N72" s="40"/>
      <c r="O72" s="40"/>
      <c r="P72" s="40"/>
      <c r="Q72" s="40"/>
      <c r="R72" s="40"/>
    </row>
    <row r="73" spans="10:18" ht="15.75" customHeight="1">
      <c r="J73" s="40"/>
      <c r="K73" s="40"/>
      <c r="L73" s="40"/>
      <c r="M73" s="40"/>
      <c r="N73" s="40"/>
      <c r="O73" s="40"/>
      <c r="P73" s="40"/>
      <c r="Q73" s="40"/>
      <c r="R73" s="40"/>
    </row>
    <row r="74" spans="10:18" ht="15.75" customHeight="1">
      <c r="J74" s="40"/>
      <c r="K74" s="40"/>
      <c r="L74" s="40"/>
      <c r="M74" s="40"/>
      <c r="N74" s="40"/>
      <c r="O74" s="40"/>
      <c r="P74" s="40"/>
      <c r="Q74" s="40"/>
      <c r="R74" s="40"/>
    </row>
    <row r="75" spans="10:18" ht="15.75" customHeight="1">
      <c r="J75" s="40"/>
      <c r="K75" s="40"/>
      <c r="L75" s="40"/>
      <c r="M75" s="40"/>
      <c r="N75" s="40"/>
      <c r="O75" s="40"/>
      <c r="P75" s="40"/>
      <c r="Q75" s="40"/>
      <c r="R75" s="40"/>
    </row>
    <row r="76" spans="10:18" ht="15.75" customHeight="1">
      <c r="J76" s="40"/>
      <c r="K76" s="40"/>
      <c r="L76" s="40"/>
      <c r="M76" s="40"/>
      <c r="N76" s="40"/>
      <c r="O76" s="40"/>
      <c r="P76" s="40"/>
      <c r="Q76" s="40"/>
      <c r="R76" s="40"/>
    </row>
    <row r="77" spans="10:18" ht="15.75" customHeight="1">
      <c r="J77" s="40"/>
      <c r="K77" s="40"/>
      <c r="L77" s="40"/>
      <c r="M77" s="40"/>
      <c r="N77" s="40"/>
      <c r="O77" s="40"/>
      <c r="P77" s="40"/>
      <c r="Q77" s="40"/>
      <c r="R77" s="40"/>
    </row>
    <row r="78" spans="10:18" ht="15.75" customHeight="1">
      <c r="J78" s="40"/>
      <c r="K78" s="40"/>
      <c r="L78" s="40"/>
      <c r="M78" s="40"/>
      <c r="N78" s="40"/>
      <c r="O78" s="40"/>
      <c r="P78" s="40"/>
      <c r="Q78" s="40"/>
      <c r="R78" s="40"/>
    </row>
    <row r="79" spans="10:18" ht="15.75" customHeight="1">
      <c r="J79" s="40"/>
      <c r="K79" s="40"/>
      <c r="L79" s="40"/>
      <c r="M79" s="40"/>
      <c r="N79" s="40"/>
      <c r="O79" s="40"/>
      <c r="P79" s="40"/>
      <c r="Q79" s="40"/>
      <c r="R79" s="40"/>
    </row>
    <row r="80" spans="10:18" ht="15.75" customHeight="1">
      <c r="J80" s="40"/>
      <c r="K80" s="40"/>
      <c r="L80" s="40"/>
      <c r="M80" s="40"/>
      <c r="N80" s="40"/>
      <c r="O80" s="40"/>
      <c r="P80" s="40"/>
      <c r="Q80" s="40"/>
      <c r="R80" s="40"/>
    </row>
    <row r="81" spans="10:18" ht="15.75" customHeight="1">
      <c r="J81" s="40"/>
      <c r="K81" s="40"/>
      <c r="L81" s="40"/>
      <c r="M81" s="40"/>
      <c r="N81" s="40"/>
      <c r="O81" s="40"/>
      <c r="P81" s="40"/>
      <c r="Q81" s="40"/>
      <c r="R81" s="40"/>
    </row>
    <row r="82" spans="10:18" ht="15.75" customHeight="1">
      <c r="J82" s="40"/>
      <c r="K82" s="40"/>
      <c r="L82" s="40"/>
      <c r="M82" s="40"/>
      <c r="N82" s="40"/>
      <c r="O82" s="40"/>
      <c r="P82" s="40"/>
      <c r="Q82" s="40"/>
      <c r="R82" s="40"/>
    </row>
    <row r="83" spans="10:18" ht="15.75" customHeight="1">
      <c r="J83" s="40"/>
      <c r="K83" s="40"/>
      <c r="L83" s="40"/>
      <c r="M83" s="40"/>
      <c r="N83" s="40"/>
      <c r="O83" s="40"/>
      <c r="P83" s="40"/>
      <c r="Q83" s="40"/>
      <c r="R83" s="40"/>
    </row>
    <row r="84" spans="10:18" ht="15.75" customHeight="1">
      <c r="J84" s="40"/>
      <c r="K84" s="40"/>
      <c r="L84" s="40"/>
      <c r="M84" s="40"/>
      <c r="N84" s="40"/>
      <c r="O84" s="40"/>
      <c r="P84" s="40"/>
      <c r="Q84" s="40"/>
      <c r="R84" s="40"/>
    </row>
    <row r="85" spans="10:18" ht="15.75" customHeight="1">
      <c r="J85" s="40"/>
      <c r="K85" s="40"/>
      <c r="L85" s="40"/>
      <c r="M85" s="40"/>
      <c r="N85" s="40"/>
      <c r="O85" s="40"/>
      <c r="P85" s="40"/>
      <c r="Q85" s="40"/>
      <c r="R85" s="40"/>
    </row>
    <row r="86" spans="10:18" ht="15.75" customHeight="1">
      <c r="J86" s="40"/>
      <c r="K86" s="40"/>
      <c r="L86" s="40"/>
      <c r="M86" s="40"/>
      <c r="N86" s="40"/>
      <c r="O86" s="40"/>
      <c r="P86" s="40"/>
      <c r="Q86" s="40"/>
      <c r="R86" s="40"/>
    </row>
    <row r="87" spans="10:18" ht="15.75" customHeight="1">
      <c r="J87" s="40"/>
      <c r="K87" s="40"/>
      <c r="L87" s="40"/>
      <c r="M87" s="40"/>
      <c r="N87" s="40"/>
      <c r="O87" s="40"/>
      <c r="P87" s="40"/>
      <c r="Q87" s="40"/>
      <c r="R87" s="40"/>
    </row>
    <row r="88" spans="10:18" ht="15.75" customHeight="1">
      <c r="J88" s="40"/>
      <c r="K88" s="40"/>
      <c r="L88" s="40"/>
      <c r="M88" s="40"/>
      <c r="N88" s="40"/>
      <c r="O88" s="40"/>
      <c r="P88" s="40"/>
      <c r="Q88" s="40"/>
      <c r="R88" s="40"/>
    </row>
    <row r="89" spans="10:18" ht="15.75" customHeight="1">
      <c r="J89" s="40"/>
      <c r="K89" s="40"/>
      <c r="L89" s="40"/>
      <c r="M89" s="40"/>
      <c r="N89" s="40"/>
      <c r="O89" s="40"/>
      <c r="P89" s="40"/>
      <c r="Q89" s="40"/>
      <c r="R89" s="40"/>
    </row>
    <row r="90" spans="10:18" ht="15.75" customHeight="1">
      <c r="J90" s="40"/>
      <c r="K90" s="40"/>
      <c r="L90" s="40"/>
      <c r="M90" s="40"/>
      <c r="N90" s="40"/>
      <c r="O90" s="40"/>
      <c r="P90" s="40"/>
      <c r="Q90" s="40"/>
      <c r="R90" s="40"/>
    </row>
    <row r="91" spans="10:18" ht="15.75" customHeight="1">
      <c r="J91" s="40"/>
      <c r="K91" s="40"/>
      <c r="L91" s="40"/>
      <c r="M91" s="40"/>
      <c r="N91" s="40"/>
      <c r="O91" s="40"/>
      <c r="P91" s="40"/>
      <c r="Q91" s="40"/>
      <c r="R91" s="40"/>
    </row>
    <row r="92" spans="10:18" ht="15.75" customHeight="1">
      <c r="J92" s="40"/>
      <c r="K92" s="40"/>
      <c r="L92" s="40"/>
      <c r="M92" s="40"/>
      <c r="N92" s="40"/>
      <c r="O92" s="40"/>
      <c r="P92" s="40"/>
      <c r="Q92" s="40"/>
      <c r="R92" s="40"/>
    </row>
    <row r="93" spans="10:18" ht="15.75" customHeight="1">
      <c r="J93" s="40"/>
      <c r="K93" s="40"/>
      <c r="L93" s="40"/>
      <c r="M93" s="40"/>
      <c r="N93" s="40"/>
      <c r="O93" s="40"/>
      <c r="P93" s="40"/>
      <c r="Q93" s="40"/>
      <c r="R93" s="40"/>
    </row>
    <row r="94" spans="10:18" ht="15.75" customHeight="1">
      <c r="J94" s="40"/>
      <c r="K94" s="40"/>
      <c r="L94" s="40"/>
      <c r="M94" s="40"/>
      <c r="N94" s="40"/>
      <c r="O94" s="40"/>
      <c r="P94" s="40"/>
      <c r="Q94" s="40"/>
      <c r="R94" s="40"/>
    </row>
    <row r="95" spans="10:18" ht="15.75" customHeight="1">
      <c r="J95" s="40"/>
      <c r="K95" s="40"/>
      <c r="L95" s="40"/>
      <c r="M95" s="40"/>
      <c r="N95" s="40"/>
      <c r="O95" s="40"/>
      <c r="P95" s="40"/>
      <c r="Q95" s="40"/>
      <c r="R95" s="40"/>
    </row>
    <row r="96" spans="10:18" ht="15.75" customHeight="1">
      <c r="J96" s="40"/>
      <c r="K96" s="40"/>
      <c r="L96" s="40"/>
      <c r="M96" s="40"/>
      <c r="N96" s="40"/>
      <c r="O96" s="40"/>
      <c r="P96" s="40"/>
      <c r="Q96" s="40"/>
      <c r="R96" s="40"/>
    </row>
    <row r="97" spans="10:18" ht="15.75" customHeight="1">
      <c r="J97" s="40"/>
      <c r="K97" s="40"/>
      <c r="L97" s="40"/>
      <c r="M97" s="40"/>
      <c r="N97" s="40"/>
      <c r="O97" s="40"/>
      <c r="P97" s="40"/>
      <c r="Q97" s="40"/>
      <c r="R97" s="40"/>
    </row>
    <row r="98" spans="10:18" ht="15.75" customHeight="1">
      <c r="J98" s="40"/>
      <c r="K98" s="40"/>
      <c r="L98" s="40"/>
      <c r="M98" s="40"/>
      <c r="N98" s="40"/>
      <c r="O98" s="40"/>
      <c r="P98" s="40"/>
      <c r="Q98" s="40"/>
      <c r="R98" s="40"/>
    </row>
    <row r="99" spans="10:18" ht="15.75" customHeight="1">
      <c r="J99" s="40"/>
      <c r="K99" s="40"/>
      <c r="L99" s="40"/>
      <c r="M99" s="40"/>
      <c r="N99" s="40"/>
      <c r="O99" s="40"/>
      <c r="P99" s="40"/>
      <c r="Q99" s="40"/>
      <c r="R99" s="40"/>
    </row>
    <row r="100" spans="10:18" ht="15.75" customHeight="1"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10:18" ht="15.75" customHeight="1">
      <c r="J101" s="40"/>
      <c r="K101" s="40"/>
      <c r="L101" s="40"/>
      <c r="M101" s="40"/>
      <c r="N101" s="40"/>
      <c r="O101" s="40"/>
      <c r="P101" s="40"/>
      <c r="Q101" s="40"/>
      <c r="R101" s="40"/>
    </row>
    <row r="102" spans="10:18" ht="15.75" customHeight="1"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10:18" ht="15.75" customHeight="1"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10:18" ht="15.75" customHeight="1">
      <c r="J104" s="40"/>
      <c r="K104" s="40"/>
      <c r="L104" s="40"/>
      <c r="M104" s="40"/>
      <c r="N104" s="40"/>
      <c r="O104" s="40"/>
      <c r="P104" s="40"/>
      <c r="Q104" s="40"/>
      <c r="R104" s="40"/>
    </row>
    <row r="105" spans="10:18" ht="15.75" customHeight="1"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10:18" ht="15.75" customHeight="1">
      <c r="J106" s="40"/>
      <c r="K106" s="40"/>
      <c r="L106" s="40"/>
      <c r="M106" s="40"/>
      <c r="N106" s="40"/>
      <c r="O106" s="40"/>
      <c r="P106" s="40"/>
      <c r="Q106" s="40"/>
      <c r="R106" s="40"/>
    </row>
    <row r="107" spans="10:18" ht="15.75" customHeight="1"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10:18" ht="15.75" customHeight="1">
      <c r="J108" s="40"/>
      <c r="K108" s="40"/>
      <c r="L108" s="40"/>
      <c r="M108" s="40"/>
      <c r="N108" s="40"/>
      <c r="O108" s="40"/>
      <c r="P108" s="40"/>
      <c r="Q108" s="40"/>
      <c r="R108" s="40"/>
    </row>
    <row r="109" spans="10:18" ht="15.75" customHeight="1">
      <c r="J109" s="40"/>
      <c r="K109" s="40"/>
      <c r="L109" s="40"/>
      <c r="M109" s="40"/>
      <c r="N109" s="40"/>
      <c r="O109" s="40"/>
      <c r="P109" s="40"/>
      <c r="Q109" s="40"/>
      <c r="R109" s="40"/>
    </row>
    <row r="110" spans="10:18" ht="15.75" customHeight="1"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10:18" ht="15.75" customHeight="1"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10:18" ht="15.75" customHeight="1"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0:18" ht="15.75" customHeight="1"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10:18" ht="15.75" customHeight="1"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0:18" ht="15.75" customHeight="1"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10:18" ht="15.75" customHeight="1"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10:18" ht="15.75" customHeight="1"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10:18" ht="15.75" customHeight="1"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10:18" ht="15.75" customHeight="1"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10:18" ht="15.75" customHeight="1"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10:18" ht="15.75" customHeight="1"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10:18" ht="15.75" customHeight="1"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10:18" ht="15.75" customHeight="1"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10:18" ht="15.75" customHeight="1"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10:18" ht="15.75" customHeight="1"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10:18" ht="15.75" customHeight="1"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10:18" ht="15.75" customHeight="1"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10:18" ht="15.75" customHeight="1"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10:18" ht="15.75" customHeight="1"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10:18" ht="15.75" customHeight="1"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10:18" ht="15.75" customHeight="1"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10:18" ht="15.75" customHeight="1"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10:18" ht="15.75" customHeight="1"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10:18" ht="15.75" customHeight="1"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10:18" ht="15.75" customHeight="1"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10:18" ht="15.75" customHeight="1"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10:18" ht="15.75" customHeight="1"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10:18" ht="15.75" customHeight="1"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10:18" ht="15.75" customHeight="1"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10:18" ht="15.75" customHeight="1"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10:18" ht="15.75" customHeight="1"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10:18" ht="15.75" customHeight="1"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10:18" ht="15.75" customHeight="1"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10:18" ht="15.75" customHeight="1"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10:18" ht="15.75" customHeight="1"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0:18" ht="15.75" customHeight="1"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10:18" ht="15.75" customHeight="1"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10:18" ht="15.75" customHeight="1"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10:18" ht="15.75" customHeight="1"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10:18" ht="15.75" customHeight="1"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10:18" ht="15.75" customHeight="1"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10:18" ht="15.75" customHeight="1"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10:18" ht="15.75" customHeight="1"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10:18" ht="15.75" customHeight="1"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10:18" ht="15.75" customHeight="1"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0:18" ht="15.75" customHeight="1"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0:18" ht="15.75" customHeight="1"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0:18" ht="15.75" customHeight="1"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0:18" ht="15.75" customHeight="1"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0:18" ht="15.75" customHeight="1"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0:18" ht="15.75" customHeight="1"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0:18" ht="15.75" customHeight="1"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0:18" ht="15.75" customHeight="1"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0:18" ht="15.75" customHeight="1"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0:18" ht="15.75" customHeight="1"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0:18" ht="15.75" customHeight="1"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0:18" ht="15.75" customHeight="1"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0:18" ht="15.75" customHeight="1"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0:18" ht="15.75" customHeight="1"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0:18" ht="15.75" customHeight="1"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0:18" ht="15.75" customHeight="1"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0:18" ht="15.75" customHeight="1"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0:18" ht="15.75" customHeight="1"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0:18" ht="15.75" customHeight="1"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0:18" ht="15.75" customHeight="1"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0:18" ht="15.75" customHeight="1"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0:18" ht="15.75" customHeight="1"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0:18" ht="15.75" customHeight="1"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0:18" ht="15.75" customHeight="1"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0:18" ht="15.75" customHeight="1"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0:18" ht="15.75" customHeight="1"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0:18" ht="15.75" customHeight="1"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0:18" ht="15.75" customHeight="1"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0:18" ht="15.75" customHeight="1"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0:18" ht="15.75" customHeight="1"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0:18" ht="15.75" customHeight="1"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0:18" ht="15.75" customHeight="1"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0:18" ht="15.75" customHeight="1"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0:18" ht="15.75" customHeight="1"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0:18" ht="15.75" customHeight="1"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0:18" ht="15.75" customHeight="1"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0:18" ht="15.75" customHeight="1"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0:18" ht="15.75" customHeight="1"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0:18" ht="15.75" customHeight="1"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0:18" ht="15.75" customHeight="1"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0:18" ht="15.75" customHeight="1"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0:18" ht="15.75" customHeight="1"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0:18" ht="15.75" customHeight="1"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0:18" ht="15.75" customHeight="1"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0:18" ht="15.75" customHeight="1"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0:18" ht="15.75" customHeight="1"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0:18" ht="15.75" customHeight="1"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0:18" ht="15.75" customHeight="1"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0:18" ht="15.75" customHeight="1"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0:18" ht="15.75" customHeight="1"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0:18" ht="15.75" customHeight="1"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0:18" ht="15.75" customHeight="1"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0:18" ht="15.75" customHeight="1"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0:18" ht="15.75" customHeight="1"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0:18" ht="15.75" customHeight="1"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0:18" ht="15.75" customHeight="1"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0:18" ht="15.75" customHeight="1"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0:18" ht="15.75" customHeight="1"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0:18" ht="15.75" customHeight="1"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0:18" ht="15.75" customHeight="1"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0:18" ht="15.75" customHeight="1"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0:18" ht="15.75" customHeight="1"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0:18" ht="15.75" customHeight="1"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0:18" ht="15.75" customHeight="1"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0:18" ht="15.75" customHeight="1"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0:18" ht="15.75" customHeight="1"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0:18" ht="15.75" customHeight="1"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0:18" ht="15.75" customHeight="1"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0:18" ht="15.75" customHeight="1"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0:18" ht="15.75" customHeight="1"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0:18" ht="15.75" customHeight="1"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0:18" ht="15.75" customHeight="1"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0:18" ht="15.75" customHeight="1"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0:18" ht="15.75" customHeight="1"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0:18" ht="15.75" customHeight="1"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0:18" ht="15.75" customHeight="1"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0:18" ht="15.75" customHeight="1"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0:18" ht="15.75" customHeight="1"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0:18" ht="15.75" customHeight="1"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0:18" ht="15.75" customHeight="1"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0:18" ht="15.75" customHeight="1"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0:18" ht="15.75" customHeight="1"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0:18" ht="15.75" customHeight="1"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0:18" ht="15.75" customHeight="1"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0:18" ht="15.75" customHeight="1"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0:18" ht="15.75" customHeight="1"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0:18" ht="15.75" customHeight="1"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0:18" ht="15.75" customHeight="1"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0:18" ht="15.75" customHeight="1"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0:18" ht="15.75" customHeight="1"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0:18" ht="15.75" customHeight="1"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0:18" ht="15.75" customHeight="1"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0:18" ht="15.75" customHeight="1"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0:18" ht="15.75" customHeight="1"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0:18" ht="15.75" customHeight="1"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0:18" ht="15.75" customHeight="1"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0:18" ht="15.75" customHeight="1"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0:18" ht="15.75" customHeight="1"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0:18" ht="15.75" customHeight="1"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0:18" ht="15.75" customHeight="1"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0:18" ht="15.75" customHeight="1"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0:18" ht="15.75" customHeight="1"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0:18" ht="15.75" customHeight="1"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0:18" ht="15.75" customHeight="1"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0:18" ht="15.75" customHeight="1"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0:18" ht="15.75" customHeight="1"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0:18" ht="15.75" customHeight="1"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0:18" ht="15.75" customHeight="1"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0:18" ht="15.75" customHeight="1"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0:18" ht="15.75" customHeight="1"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0:18" ht="15.75" customHeight="1"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0:18" ht="15.75" customHeight="1"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0:18" ht="15.75" customHeight="1"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0:18" ht="15.75" customHeight="1"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0:18" ht="15.75" customHeight="1"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0:18" ht="15.75" customHeight="1"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0:18" ht="15.75" customHeight="1"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0:18" ht="15.75" customHeight="1"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0:18" ht="15.75" customHeight="1"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0:18" ht="15.75" customHeight="1"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0:18" ht="15.75" customHeight="1"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0:18" ht="15.75" customHeight="1"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0:18" ht="15.75" customHeight="1"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0:18" ht="15.75" customHeight="1"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0:18" ht="15.75" customHeight="1"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0:18" ht="15.75" customHeight="1"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0:18" ht="15.75" customHeight="1"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0:18" ht="15.75" customHeight="1"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0:18" ht="15.75" customHeight="1"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0:18" ht="15.75" customHeight="1"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0:18" ht="15.75" customHeight="1"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0:18" ht="15.75" customHeight="1"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0:18" ht="15.75" customHeight="1"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0:18" ht="15.75" customHeight="1"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0:18" ht="15.75" customHeight="1"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0:18" ht="15.75" customHeight="1"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0:18" ht="15.75" customHeight="1"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0:18" ht="15.75" customHeight="1"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0:18" ht="15.75" customHeight="1"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0:18" ht="15.75" customHeight="1"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0:18" ht="15.75" customHeight="1"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0:18" ht="15.75" customHeight="1"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0:18" ht="15.75" customHeight="1"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0:18" ht="15.75" customHeight="1"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0:18" ht="15.75" customHeight="1"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0:18" ht="15.75" customHeight="1"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0:18" ht="15.75" customHeight="1"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0:18" ht="15.75" customHeight="1"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0:18" ht="15.75" customHeight="1"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0:18" ht="15.75" customHeight="1"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0:18" ht="15.75" customHeight="1"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0:18" ht="15.75" customHeight="1"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0:18" ht="15.75" customHeight="1"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0:18" ht="15.75" customHeight="1"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0:18" ht="15.75" customHeight="1"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0:18" ht="15.75" customHeight="1"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0:18" ht="15.75" customHeight="1"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0:18" ht="15.75" customHeight="1"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0:18" ht="15.75" customHeight="1"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0:18" ht="15.75" customHeight="1"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0:18" ht="15.75" customHeight="1"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0:18" ht="15.75" customHeight="1"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0:18" ht="15.75" customHeight="1"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0:18" ht="15.75" customHeight="1"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0:18" ht="15.75" customHeight="1"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0:18" ht="15.75" customHeight="1"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0:18" ht="15.75" customHeight="1"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0:18" ht="15.75" customHeight="1"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0:18" ht="15.75" customHeight="1"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0:18" ht="15.75" customHeight="1"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0:18" ht="15.75" customHeight="1"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0:18" ht="15.75" customHeight="1"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0:18" ht="15.75" customHeight="1"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0:18" ht="15.75" customHeight="1"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0:18" ht="15.75" customHeight="1"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0:18" ht="15.75" customHeight="1"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0:18" ht="15.75" customHeight="1"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0:18" ht="15.75" customHeight="1"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0:18" ht="15.75" customHeight="1"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0:18" ht="15.75" customHeight="1"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0:18" ht="15.75" customHeight="1"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0:18" ht="15.75" customHeight="1"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0:18" ht="15.75" customHeight="1"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0:18" ht="15.75" customHeight="1"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0:18" ht="15.75" customHeight="1"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0:18" ht="15.75" customHeight="1"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0:18" ht="15.75" customHeight="1"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0:18" ht="15.75" customHeight="1"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0:18" ht="15.75" customHeight="1"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0:18" ht="15.75" customHeight="1"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0:18" ht="15.75" customHeight="1"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0:18" ht="15.75" customHeight="1"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0:18" ht="15.75" customHeight="1"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0:18" ht="15.75" customHeight="1"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0:18" ht="15.75" customHeight="1"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0:18" ht="15.75" customHeight="1"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0:18" ht="15.75" customHeight="1"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0:18" ht="15.75" customHeight="1"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0:18" ht="15.75" customHeight="1"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0:18" ht="15.75" customHeight="1"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0:18" ht="15.75" customHeight="1"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0:18" ht="15.75" customHeight="1"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0:18" ht="15.75" customHeight="1"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0:18" ht="15.75" customHeight="1"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0:18" ht="15.75" customHeight="1"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0:18" ht="15.75" customHeight="1"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0:18" ht="15.75" customHeight="1"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0:18" ht="15.75" customHeight="1"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0:18" ht="15.75" customHeight="1"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0:18" ht="15.75" customHeight="1"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0:18" ht="15.75" customHeight="1"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0:18" ht="15.75" customHeight="1"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0:18" ht="15.75" customHeight="1"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0:18" ht="15.75" customHeight="1"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0:18" ht="15.75" customHeight="1"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0:18" ht="15.75" customHeight="1"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0:18" ht="15.75" customHeight="1"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0:18" ht="15.75" customHeight="1"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0:18" ht="15.75" customHeight="1"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0:18" ht="15.75" customHeight="1"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0:18" ht="15.75" customHeight="1"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0:18" ht="15.75" customHeight="1"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0:18" ht="15.75" customHeight="1"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0:18" ht="15.75" customHeight="1"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0:18" ht="15.75" customHeight="1"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0:18" ht="15.75" customHeight="1"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0:18" ht="15.75" customHeight="1"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0:18" ht="15.75" customHeight="1"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0:18" ht="15.75" customHeight="1"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0:18" ht="15.75" customHeight="1"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0:18" ht="15.75" customHeight="1"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0:18" ht="15.75" customHeight="1"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0:18" ht="15.75" customHeight="1"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0:18" ht="15.75" customHeight="1"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0:18" ht="15.75" customHeight="1"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0:18" ht="15.75" customHeight="1"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0:18" ht="15.75" customHeight="1"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0:18" ht="15.75" customHeight="1"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0:18" ht="15.75" customHeight="1"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0:18" ht="15.75" customHeight="1"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0:18" ht="15.75" customHeight="1"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0:18" ht="15.75" customHeight="1"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0:18" ht="15.75" customHeight="1"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0:18" ht="15.75" customHeight="1"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0:18" ht="15.75" customHeight="1"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0:18" ht="15.75" customHeight="1"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0:18" ht="15.75" customHeight="1"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0:18" ht="15.75" customHeight="1"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0:18" ht="15.75" customHeight="1"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0:18" ht="15.75" customHeight="1"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0:18" ht="15.75" customHeight="1"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0:18" ht="15.75" customHeight="1"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0:18" ht="15.75" customHeight="1"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0:18" ht="15.75" customHeight="1"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0:18" ht="15.75" customHeight="1"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0:18" ht="15.75" customHeight="1"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0:18" ht="15.75" customHeight="1"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0:18" ht="15.75" customHeight="1"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0:18" ht="15.75" customHeight="1"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0:18" ht="15.75" customHeight="1"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0:18" ht="15.75" customHeight="1"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0:18" ht="15.75" customHeight="1"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0:18" ht="15.75" customHeight="1"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0:18" ht="15.75" customHeight="1"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0:18" ht="15.75" customHeight="1"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0:18" ht="15.75" customHeight="1"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0:18" ht="15.75" customHeight="1"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0:18" ht="15.75" customHeight="1"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0:18" ht="15.75" customHeight="1"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0:18" ht="15.75" customHeight="1"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0:18" ht="15.75" customHeight="1"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0:18" ht="15.75" customHeight="1"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0:18" ht="15.75" customHeight="1"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0:18" ht="15.75" customHeight="1"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0:18" ht="15.75" customHeight="1"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0:18" ht="15.75" customHeight="1"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0:18" ht="15.75" customHeight="1"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0:18" ht="15.75" customHeight="1"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0:18" ht="15.75" customHeight="1"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0:18" ht="15.75" customHeight="1"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0:18" ht="15.75" customHeight="1"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0:18" ht="15.75" customHeight="1"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0:18" ht="15.75" customHeight="1"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0:18" ht="15.75" customHeight="1"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0:18" ht="15.75" customHeight="1"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0:18" ht="15.75" customHeight="1"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0:18" ht="15.75" customHeight="1"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0:18" ht="15.75" customHeight="1"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0:18" ht="15.75" customHeight="1"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0:18" ht="15.75" customHeight="1"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0:18" ht="15.75" customHeight="1"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0:18" ht="15.75" customHeight="1"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0:18" ht="15.75" customHeight="1"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0:18" ht="15.75" customHeight="1"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0:18" ht="15.75" customHeight="1"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0:18" ht="15.75" customHeight="1"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0:18" ht="15.75" customHeight="1"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0:18" ht="15.75" customHeight="1"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0:18" ht="15.75" customHeight="1"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0:18" ht="15.75" customHeight="1"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0:18" ht="15.75" customHeight="1"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0:18" ht="15.75" customHeight="1"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0:18" ht="15.75" customHeight="1"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0:18" ht="15.75" customHeight="1"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0:18" ht="15.75" customHeight="1"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0:18" ht="15.75" customHeight="1"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0:18" ht="15.75" customHeight="1"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0:18" ht="15.75" customHeight="1"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0:18" ht="15.75" customHeight="1"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0:18" ht="15.75" customHeight="1"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0:18" ht="15.75" customHeight="1"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0:18" ht="15.75" customHeight="1"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0:18" ht="15.75" customHeight="1"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0:18" ht="15.75" customHeight="1"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0:18" ht="15.75" customHeight="1"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0:18" ht="15.75" customHeight="1"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0:18" ht="15.75" customHeight="1"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0:18" ht="15.75" customHeight="1"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0:18" ht="15.75" customHeight="1"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0:18" ht="15.75" customHeight="1"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0:18" ht="15.75" customHeight="1"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0:18" ht="15.75" customHeight="1"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0:18" ht="15.75" customHeight="1"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0:18" ht="15.75" customHeight="1"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0:18" ht="15.75" customHeight="1"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0:18" ht="15.75" customHeight="1"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0:18" ht="15.75" customHeight="1"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0:18" ht="15.75" customHeight="1"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0:18" ht="15.75" customHeight="1"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0:18" ht="15.75" customHeight="1"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0:18" ht="15.75" customHeight="1"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0:18" ht="15.75" customHeight="1"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0:18" ht="15.75" customHeight="1"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0:18" ht="15.75" customHeight="1"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0:18" ht="15.75" customHeight="1"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0:18" ht="15.75" customHeight="1"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0:18" ht="15.75" customHeight="1"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0:18" ht="15.75" customHeight="1"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0:18" ht="15.75" customHeight="1"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0:18" ht="15.75" customHeight="1"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0:18" ht="15.75" customHeight="1"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0:18" ht="15.75" customHeight="1"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0:18" ht="15.75" customHeight="1"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0:18" ht="15.75" customHeight="1"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0:18" ht="15.75" customHeight="1"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0:18" ht="15.75" customHeight="1"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0:18" ht="15.75" customHeight="1"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0:18" ht="15.75" customHeight="1"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0:18" ht="15.75" customHeight="1"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0:18" ht="15.75" customHeight="1"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0:18" ht="15.75" customHeight="1"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0:18" ht="15.75" customHeight="1"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0:18" ht="15.75" customHeight="1"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0:18" ht="15.75" customHeight="1"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0:18" ht="15.75" customHeight="1"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0:18" ht="15.75" customHeight="1"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0:18" ht="15.75" customHeight="1"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0:18" ht="15.75" customHeight="1"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0:18" ht="15.75" customHeight="1"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0:18" ht="15.75" customHeight="1"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0:18" ht="15.75" customHeight="1"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0:18" ht="15.75" customHeight="1"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0:18" ht="15.75" customHeight="1"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0:18" ht="15.75" customHeight="1"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0:18" ht="15.75" customHeight="1"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0:18" ht="15.75" customHeight="1"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0:18" ht="15.75" customHeight="1"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0:18" ht="15.75" customHeight="1"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0:18" ht="15.75" customHeight="1"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0:18" ht="15.75" customHeight="1"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0:18" ht="15.75" customHeight="1"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0:18" ht="15.75" customHeight="1"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0:18" ht="15.75" customHeight="1"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0:18" ht="15.75" customHeight="1"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0:18" ht="15.75" customHeight="1"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0:18" ht="15.75" customHeight="1"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0:18" ht="15.75" customHeight="1"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0:18" ht="15.75" customHeight="1"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0:18" ht="15.75" customHeight="1"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0:18" ht="15.75" customHeight="1"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0:18" ht="15.75" customHeight="1"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0:18" ht="15.75" customHeight="1"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0:18" ht="15.75" customHeight="1"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0:18" ht="15.75" customHeight="1"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0:18" ht="15.75" customHeight="1"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0:18" ht="15.75" customHeight="1"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0:18" ht="15.75" customHeight="1"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0:18" ht="15.75" customHeight="1"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0:18" ht="15.75" customHeight="1"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0:18" ht="15.75" customHeight="1"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0:18" ht="15.75" customHeight="1"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0:18" ht="15.75" customHeight="1"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0:18" ht="15.75" customHeight="1"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0:18" ht="15.75" customHeight="1"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0:18" ht="15.75" customHeight="1"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0:18" ht="15.75" customHeight="1"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0:18" ht="15.75" customHeight="1"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0:18" ht="15.75" customHeight="1"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0:18" ht="15.75" customHeight="1"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0:18" ht="15.75" customHeight="1"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0:18" ht="15.75" customHeight="1"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0:18" ht="15.75" customHeight="1"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0:18" ht="15.75" customHeight="1"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0:18" ht="15.75" customHeight="1"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0:18" ht="15.75" customHeight="1"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0:18" ht="15.75" customHeight="1"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0:18" ht="15.75" customHeight="1"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0:18" ht="15.75" customHeight="1"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0:18" ht="15.75" customHeight="1"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0:18" ht="15.75" customHeight="1"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0:18" ht="15.75" customHeight="1"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0:18" ht="15.75" customHeight="1"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0:18" ht="15.75" customHeight="1"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0:18" ht="15.75" customHeight="1"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0:18" ht="15.75" customHeight="1"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0:18" ht="15.75" customHeight="1"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0:18" ht="15.75" customHeight="1"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0:18" ht="15.75" customHeight="1"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0:18" ht="15.75" customHeight="1"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0:18" ht="15.75" customHeight="1"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0:18" ht="15.75" customHeight="1"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0:18" ht="15.75" customHeight="1"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0:18" ht="15.75" customHeight="1"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0:18" ht="15.75" customHeight="1"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0:18" ht="15.75" customHeight="1"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0:18" ht="15.75" customHeight="1"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0:18" ht="15.75" customHeight="1"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0:18" ht="15.75" customHeight="1"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0:18" ht="15.75" customHeight="1"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0:18" ht="15.75" customHeight="1"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0:18" ht="15.75" customHeight="1"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0:18" ht="15.75" customHeight="1"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0:18" ht="15.75" customHeight="1"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0:18" ht="15.75" customHeight="1"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0:18" ht="15.75" customHeight="1"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0:18" ht="15.75" customHeight="1"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0:18" ht="15.75" customHeight="1"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0:18" ht="15.75" customHeight="1"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0:18" ht="15.75" customHeight="1"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0:18" ht="15.75" customHeight="1"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0:18" ht="15.75" customHeight="1"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0:18" ht="15.75" customHeight="1"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0:18" ht="15.75" customHeight="1"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0:18" ht="15.75" customHeight="1"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0:18" ht="15.75" customHeight="1"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0:18" ht="15.75" customHeight="1"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0:18" ht="15.75" customHeight="1"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0:18" ht="15.75" customHeight="1"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0:18" ht="15.75" customHeight="1"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0:18" ht="15.75" customHeight="1"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0:18" ht="15.75" customHeight="1"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0:18" ht="15.75" customHeight="1"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0:18" ht="15.75" customHeight="1"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0:18" ht="15.75" customHeight="1"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0:18" ht="15.75" customHeight="1"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0:18" ht="15.75" customHeight="1"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0:18" ht="15.75" customHeight="1"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0:18" ht="15.75" customHeight="1"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0:18" ht="15.75" customHeight="1"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0:18" ht="15.75" customHeight="1"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0:18" ht="15.75" customHeight="1"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0:18" ht="15.75" customHeight="1"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0:18" ht="15.75" customHeight="1"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0:18" ht="15.75" customHeight="1"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0:18" ht="15.75" customHeight="1"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0:18" ht="15.75" customHeight="1"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0:18" ht="15.75" customHeight="1"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0:18" ht="15.75" customHeight="1"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0:18" ht="15.75" customHeight="1"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0:18" ht="15.75" customHeight="1"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0:18" ht="15.75" customHeight="1"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0:18" ht="15.75" customHeight="1"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0:18" ht="15.75" customHeight="1"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0:18" ht="15.75" customHeight="1"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0:18" ht="15.75" customHeight="1"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0:18" ht="15.75" customHeight="1"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0:18" ht="15.75" customHeight="1"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0:18" ht="15.75" customHeight="1"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0:18" ht="15.75" customHeight="1"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0:18" ht="15.75" customHeight="1"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0:18" ht="15.75" customHeight="1"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0:18" ht="15.75" customHeight="1"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0:18" ht="15.75" customHeight="1"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0:18" ht="15.75" customHeight="1"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0:18" ht="15.75" customHeight="1"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0:18" ht="15.75" customHeight="1"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0:18" ht="15.75" customHeight="1"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0:18" ht="15.75" customHeight="1"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0:18" ht="15.75" customHeight="1"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0:18" ht="15.75" customHeight="1"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0:18" ht="15.75" customHeight="1"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0:18" ht="15.75" customHeight="1"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0:18" ht="15.75" customHeight="1"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0:18" ht="15.75" customHeight="1"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0:18" ht="15.75" customHeight="1"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0:18" ht="15.75" customHeight="1"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0:18" ht="15.75" customHeight="1"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0:18" ht="15.75" customHeight="1"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0:18" ht="15.75" customHeight="1"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0:18" ht="15.75" customHeight="1"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0:18" ht="15.75" customHeight="1"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0:18" ht="15.75" customHeight="1"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0:18" ht="15.75" customHeight="1"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0:18" ht="15.75" customHeight="1"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0:18" ht="15.75" customHeight="1"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0:18" ht="15.75" customHeight="1"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0:18" ht="15.75" customHeight="1"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0:18" ht="15.75" customHeight="1"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0:18" ht="15.75" customHeight="1"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0:18" ht="15.75" customHeight="1"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0:18" ht="15.75" customHeight="1"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0:18" ht="15.75" customHeight="1"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0:18" ht="15.75" customHeight="1"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0:18" ht="15.75" customHeight="1"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0:18" ht="15.75" customHeight="1"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0:18" ht="15.75" customHeight="1"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0:18" ht="15.75" customHeight="1"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0:18" ht="15.75" customHeight="1"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0:18" ht="15.75" customHeight="1"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0:18" ht="15.75" customHeight="1"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0:18" ht="15.75" customHeight="1"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0:18" ht="15.75" customHeight="1"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0:18" ht="15.75" customHeight="1"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0:18" ht="15.75" customHeight="1"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0:18" ht="15.75" customHeight="1"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0:18" ht="15.75" customHeight="1"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0:18" ht="15.75" customHeight="1"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0:18" ht="15.75" customHeight="1"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0:18" ht="15.75" customHeight="1"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0:18" ht="15.75" customHeight="1"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0:18" ht="15.75" customHeight="1"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0:18" ht="15.75" customHeight="1"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0:18" ht="15.75" customHeight="1"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0:18" ht="15.75" customHeight="1"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0:18" ht="15.75" customHeight="1"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0:18" ht="15.75" customHeight="1"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0:18" ht="15.75" customHeight="1"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0:18" ht="15.75" customHeight="1"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0:18" ht="15.75" customHeight="1"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0:18" ht="15.75" customHeight="1"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0:18" ht="15.75" customHeight="1"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0:18" ht="15.75" customHeight="1"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0:18" ht="15.75" customHeight="1"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0:18" ht="15.75" customHeight="1"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0:18" ht="15.75" customHeight="1"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0:18" ht="15.75" customHeight="1"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0:18" ht="15.75" customHeight="1"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0:18" ht="15.75" customHeight="1"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0:18" ht="15.75" customHeight="1"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0:18" ht="15.75" customHeight="1"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0:18" ht="15.75" customHeight="1"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0:18" ht="15.75" customHeight="1"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0:18" ht="15.75" customHeight="1"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0:18" ht="15.75" customHeight="1"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0:18" ht="15.75" customHeight="1"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0:18" ht="15.75" customHeight="1"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0:18" ht="15.75" customHeight="1"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0:18" ht="15.75" customHeight="1"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0:18" ht="15.75" customHeight="1"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0:18" ht="15.75" customHeight="1"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0:18" ht="15.75" customHeight="1"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0:18" ht="15.75" customHeight="1"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0:18" ht="15.75" customHeight="1"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0:18" ht="15.75" customHeight="1"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0:18" ht="15.75" customHeight="1"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0:18" ht="15.75" customHeight="1"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0:18" ht="15.75" customHeight="1"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0:18" ht="15.75" customHeight="1"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0:18" ht="15.75" customHeight="1"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0:18" ht="15.75" customHeight="1"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0:18" ht="15.75" customHeight="1"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0:18" ht="15.75" customHeight="1"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0:18" ht="15.75" customHeight="1"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0:18" ht="15.75" customHeight="1"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0:18" ht="15.75" customHeight="1"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0:18" ht="15.75" customHeight="1"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0:18" ht="15.75" customHeight="1"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0:18" ht="15.75" customHeight="1"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0:18" ht="15.75" customHeight="1"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0:18" ht="15.75" customHeight="1"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0:18" ht="15.75" customHeight="1"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0:18" ht="15.75" customHeight="1"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0:18" ht="15.75" customHeight="1"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0:18" ht="15.75" customHeight="1"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0:18" ht="15.75" customHeight="1"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0:18" ht="15.75" customHeight="1"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0:18" ht="15.75" customHeight="1"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0:18" ht="15.75" customHeight="1"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0:18" ht="15.75" customHeight="1"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0:18" ht="15.75" customHeight="1"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0:18" ht="15.75" customHeight="1"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0:18" ht="15.75" customHeight="1"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0:18" ht="15.75" customHeight="1"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0:18" ht="15.75" customHeight="1"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0:18" ht="15.75" customHeight="1"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0:18" ht="15.75" customHeight="1"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0:18" ht="15.75" customHeight="1"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0:18" ht="15.75" customHeight="1"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0:18" ht="15.75" customHeight="1"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0:18" ht="15.75" customHeight="1"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0:18" ht="15.75" customHeight="1"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0:18" ht="15.75" customHeight="1"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0:18" ht="15.75" customHeight="1"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0:18" ht="15.75" customHeight="1"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0:18" ht="15.75" customHeight="1"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0:18" ht="15.75" customHeight="1"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0:18" ht="15.75" customHeight="1"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0:18" ht="15.75" customHeight="1"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0:18" ht="15.75" customHeight="1"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0:18" ht="15.75" customHeight="1"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0:18" ht="15.75" customHeight="1"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0:18" ht="15.75" customHeight="1"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0:18" ht="15.75" customHeight="1"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0:18" ht="15.75" customHeight="1"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0:18" ht="15.75" customHeight="1"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0:18" ht="15.75" customHeight="1"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0:18" ht="15.75" customHeight="1"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0:18" ht="15.75" customHeight="1"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0:18" ht="15.75" customHeight="1"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0:18" ht="15.75" customHeight="1"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0:18" ht="15.75" customHeight="1"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0:18" ht="15.75" customHeight="1"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0:18" ht="15.75" customHeight="1"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0:18" ht="15.75" customHeight="1"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0:18" ht="15.75" customHeight="1"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0:18" ht="15.75" customHeight="1"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0:18" ht="15.75" customHeight="1"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0:18" ht="15.75" customHeight="1"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0:18" ht="15.75" customHeight="1"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0:18" ht="15.75" customHeight="1"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0:18" ht="15.75" customHeight="1"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0:18" ht="15.75" customHeight="1"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0:18" ht="15.75" customHeight="1"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0:18" ht="15.75" customHeight="1"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0:18" ht="15.75" customHeight="1"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0:18" ht="15.75" customHeight="1"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0:18" ht="15.75" customHeight="1"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0:18" ht="15.75" customHeight="1"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0:18" ht="15.75" customHeight="1"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0:18" ht="15.75" customHeight="1"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0:18" ht="15.75" customHeight="1"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0:18" ht="15.75" customHeight="1"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0:18" ht="15.75" customHeight="1"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0:18" ht="15.75" customHeight="1"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0:18" ht="15.75" customHeight="1"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0:18" ht="15.75" customHeight="1"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0:18" ht="15.75" customHeight="1"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0:18" ht="15.75" customHeight="1"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0:18" ht="15.75" customHeight="1"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0:18" ht="15.75" customHeight="1"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0:18" ht="15.75" customHeight="1"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0:18" ht="15.75" customHeight="1"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0:18" ht="15.75" customHeight="1"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0:18" ht="15.75" customHeight="1"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0:18" ht="15.75" customHeight="1"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0:18" ht="15.75" customHeight="1"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0:18" ht="15.75" customHeight="1"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0:18" ht="15.75" customHeight="1"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0:18" ht="15.75" customHeight="1"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0:18" ht="15.75" customHeight="1"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0:18" ht="15.75" customHeight="1"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0:18" ht="15.75" customHeight="1"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0:18" ht="15.75" customHeight="1"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0:18" ht="15.75" customHeight="1"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0:18" ht="15.75" customHeight="1"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0:18" ht="15.75" customHeight="1"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0:18" ht="15.75" customHeight="1"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0:18" ht="15.75" customHeight="1"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0:18" ht="15.75" customHeight="1"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0:18" ht="15.75" customHeight="1"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0:18" ht="15.75" customHeight="1"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0:18" ht="15.75" customHeight="1"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0:18" ht="15.75" customHeight="1"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0:18" ht="15.75" customHeight="1"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0:18" ht="15.75" customHeight="1"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0:18" ht="15.75" customHeight="1"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0:18" ht="15.75" customHeight="1"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0:18" ht="15.75" customHeight="1"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0:18" ht="15.75" customHeight="1"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0:18" ht="15.75" customHeight="1"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0:18" ht="15.75" customHeight="1"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0:18" ht="15.75" customHeight="1"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0:18" ht="15.75" customHeight="1"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0:18" ht="15.75" customHeight="1"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0:18" ht="15.75" customHeight="1"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0:18" ht="15.75" customHeight="1"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0:18" ht="15.75" customHeight="1"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0:18" ht="15.75" customHeight="1"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0:18" ht="15.75" customHeight="1"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0:18" ht="15.75" customHeight="1"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0:18" ht="15.75" customHeight="1"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0:18" ht="15.75" customHeight="1"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0:18" ht="15.75" customHeight="1"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0:18" ht="15.75" customHeight="1"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0:18" ht="15.75" customHeight="1"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0:18" ht="15.75" customHeight="1"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0:18" ht="15.75" customHeight="1"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0:18" ht="15.75" customHeight="1"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0:18" ht="15.75" customHeight="1"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0:18" ht="15.75" customHeight="1"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0:18" ht="15.75" customHeight="1"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0:18" ht="15.75" customHeight="1"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0:18" ht="15.75" customHeight="1"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0:18" ht="15.75" customHeight="1"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0:18" ht="15.75" customHeight="1"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0:18" ht="15.75" customHeight="1"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0:18" ht="15.75" customHeight="1"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0:18" ht="15.75" customHeight="1"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0:18" ht="15.75" customHeight="1"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0:18" ht="15.75" customHeight="1"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0:18" ht="15.75" customHeight="1"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0:18" ht="15.75" customHeight="1"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0:18" ht="15.75" customHeight="1"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0:18" ht="15.75" customHeight="1"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0:18" ht="15.75" customHeight="1"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0:18" ht="15.75" customHeight="1"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0:18" ht="15.75" customHeight="1"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0:18" ht="15.75" customHeight="1"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0:18" ht="15.75" customHeight="1"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0:18" ht="15.75" customHeight="1"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0:18" ht="15.75" customHeight="1"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0:18" ht="15.75" customHeight="1"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0:18" ht="15.75" customHeight="1"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0:18" ht="15.75" customHeight="1"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0:18" ht="15.75" customHeight="1"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0:18" ht="15.75" customHeight="1"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0:18" ht="15.75" customHeight="1"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0:18" ht="15.75" customHeight="1"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0:18" ht="15.75" customHeight="1"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0:18" ht="15.75" customHeight="1"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0:18" ht="15.75" customHeight="1"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0:18" ht="15.75" customHeight="1"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0:18" ht="15.75" customHeight="1"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0:18" ht="15.75" customHeight="1"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0:18" ht="15.75" customHeight="1"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0:18" ht="15.75" customHeight="1"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0:18" ht="15.75" customHeight="1"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0:18" ht="15.75" customHeight="1"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0:18" ht="15.75" customHeight="1"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0:18" ht="15.75" customHeight="1"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0:18" ht="15.75" customHeight="1"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0:18" ht="15.75" customHeight="1"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0:18" ht="15.75" customHeight="1"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0:18" ht="15.75" customHeight="1"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0:18" ht="15.75" customHeight="1"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0:18" ht="15.75" customHeight="1"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0:18" ht="15.75" customHeight="1"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0:18" ht="15.75" customHeight="1"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0:18" ht="15.75" customHeight="1"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0:18" ht="15.75" customHeight="1"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0:18" ht="15.75" customHeight="1"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0:18" ht="15.75" customHeight="1"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0:18" ht="15.75" customHeight="1"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0:18" ht="15.75" customHeight="1"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0:18" ht="15.75" customHeight="1"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0:18" ht="15.75" customHeight="1"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0:18" ht="15.75" customHeight="1"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0:18" ht="15.75" customHeight="1"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0:18" ht="15.75" customHeight="1"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0:18" ht="15.75" customHeight="1"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0:18" ht="15.75" customHeight="1"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0:18" ht="15.75" customHeight="1"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0:18" ht="15.75" customHeight="1"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0:18" ht="15.75" customHeight="1"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0:18" ht="15.75" customHeight="1"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0:18" ht="15.75" customHeight="1"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0:18" ht="15.75" customHeight="1"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0:18" ht="15.75" customHeight="1"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0:18" ht="15.75" customHeight="1"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0:18" ht="15.75" customHeight="1"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0:18" ht="15.75" customHeight="1"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0:18" ht="15.75" customHeight="1"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0:18" ht="15.75" customHeight="1"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0:18" ht="15.75" customHeight="1"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0:18" ht="15.75" customHeight="1"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0:18" ht="15.75" customHeight="1"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0:18" ht="15.75" customHeight="1"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0:18" ht="15.75" customHeight="1"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0:18" ht="15.75" customHeight="1"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0:18" ht="15.75" customHeight="1"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0:18" ht="15.75" customHeight="1"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0:18" ht="15.75" customHeight="1"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0:18" ht="15.75" customHeight="1"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0:18" ht="15.75" customHeight="1"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0:18" ht="15.75" customHeight="1"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0:18" ht="15.75" customHeight="1"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0:18" ht="15.75" customHeight="1"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0:18" ht="15.75" customHeight="1"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0:18" ht="15.75" customHeight="1"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0:18" ht="15.75" customHeight="1"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0:18" ht="15.75" customHeight="1"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0:18" ht="15.75" customHeight="1"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0:18" ht="15.75" customHeight="1"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0:18" ht="15.75" customHeight="1"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0:18" ht="15.75" customHeight="1"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0:18" ht="15.75" customHeight="1"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0:18" ht="15.75" customHeight="1"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0:18" ht="15.75" customHeight="1"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0:18" ht="15.75" customHeight="1"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0:18" ht="15.75" customHeight="1"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0:18" ht="15.75" customHeight="1"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0:18" ht="15.75" customHeight="1"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0:18" ht="15.75" customHeight="1"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0:18" ht="15.75" customHeight="1"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0:18" ht="15.75" customHeight="1"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0:18" ht="15.75" customHeight="1"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0:18" ht="15.75" customHeight="1"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0:18" ht="15.75" customHeight="1"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0:18" ht="15.75" customHeight="1"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0:18" ht="15.75" customHeight="1"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0:18" ht="15.75" customHeight="1"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0:18" ht="15.75" customHeight="1"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0:18" ht="15.75" customHeight="1"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0:18" ht="15.75" customHeight="1"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0:18" ht="15.75" customHeight="1"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0:18" ht="15.75" customHeight="1"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0:18" ht="15.75" customHeight="1"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0:18" ht="15.75" customHeight="1"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0:18" ht="15.75" customHeight="1"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0:18" ht="15.75" customHeight="1"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0:18" ht="15.75" customHeight="1"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0:18" ht="15.75" customHeight="1"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0:18" ht="15.75" customHeight="1"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0:18" ht="15.75" customHeight="1"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0:18" ht="15.75" customHeight="1"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0:18" ht="15.75" customHeight="1"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0:18" ht="15.75" customHeight="1"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0:18" ht="15.75" customHeight="1"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0:18" ht="15.75" customHeight="1"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0:18" ht="15.75" customHeight="1"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0:18" ht="15.75" customHeight="1"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0:18" ht="15.75" customHeight="1"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0:18" ht="15.75" customHeight="1"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0:18" ht="15.75" customHeight="1"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0:18" ht="15.75" customHeight="1"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0:18" ht="15.75" customHeight="1"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0:18" ht="15.75" customHeight="1"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0:18" ht="15.75" customHeight="1">
      <c r="J993" s="40"/>
      <c r="K993" s="40"/>
      <c r="L993" s="40"/>
      <c r="M993" s="40"/>
      <c r="N993" s="40"/>
      <c r="O993" s="40"/>
      <c r="P993" s="40"/>
      <c r="Q993" s="40"/>
      <c r="R993" s="40"/>
    </row>
    <row r="994" spans="10:18" ht="15.75" customHeight="1">
      <c r="J994" s="40"/>
      <c r="K994" s="40"/>
      <c r="L994" s="40"/>
      <c r="M994" s="40"/>
      <c r="N994" s="40"/>
      <c r="O994" s="40"/>
      <c r="P994" s="40"/>
      <c r="Q994" s="40"/>
      <c r="R994" s="40"/>
    </row>
    <row r="995" spans="10:18" ht="15.75" customHeight="1">
      <c r="J995" s="40"/>
      <c r="K995" s="40"/>
      <c r="L995" s="40"/>
      <c r="M995" s="40"/>
      <c r="N995" s="40"/>
      <c r="O995" s="40"/>
      <c r="P995" s="40"/>
      <c r="Q995" s="40"/>
      <c r="R995" s="40"/>
    </row>
    <row r="996" spans="10:18" ht="15.75" customHeight="1">
      <c r="J996" s="40"/>
      <c r="K996" s="40"/>
      <c r="L996" s="40"/>
      <c r="M996" s="40"/>
      <c r="N996" s="40"/>
      <c r="O996" s="40"/>
      <c r="P996" s="40"/>
      <c r="Q996" s="40"/>
      <c r="R996" s="40"/>
    </row>
    <row r="997" spans="10:18" ht="15.75" customHeight="1">
      <c r="J997" s="40"/>
      <c r="K997" s="40"/>
      <c r="L997" s="40"/>
      <c r="M997" s="40"/>
      <c r="N997" s="40"/>
      <c r="O997" s="40"/>
      <c r="P997" s="40"/>
      <c r="Q997" s="40"/>
      <c r="R997" s="40"/>
    </row>
    <row r="998" spans="10:18" ht="15.75" customHeight="1">
      <c r="J998" s="40"/>
      <c r="K998" s="40"/>
      <c r="L998" s="40"/>
      <c r="M998" s="40"/>
      <c r="N998" s="40"/>
      <c r="O998" s="40"/>
      <c r="P998" s="40"/>
      <c r="Q998" s="40"/>
      <c r="R998" s="40"/>
    </row>
    <row r="999" spans="10:18" ht="15.75" customHeight="1">
      <c r="J999" s="40"/>
      <c r="K999" s="40"/>
      <c r="L999" s="40"/>
      <c r="M999" s="40"/>
      <c r="N999" s="40"/>
      <c r="O999" s="40"/>
      <c r="P999" s="40"/>
      <c r="Q999" s="40"/>
      <c r="R999" s="40"/>
    </row>
    <row r="1000" spans="10:18" ht="15.75" customHeight="1">
      <c r="J1000" s="40"/>
      <c r="K1000" s="40"/>
      <c r="L1000" s="40"/>
      <c r="M1000" s="40"/>
      <c r="N1000" s="40"/>
      <c r="O1000" s="40"/>
      <c r="P1000" s="40"/>
      <c r="Q1000" s="40"/>
      <c r="R1000" s="40"/>
    </row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Z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35.125" customWidth="1"/>
    <col min="5" max="7" width="8.625" customWidth="1"/>
    <col min="8" max="9" width="2.125" customWidth="1"/>
    <col min="10" max="10" width="11.875" customWidth="1"/>
    <col min="11" max="11" width="14.875" customWidth="1"/>
    <col min="12" max="14" width="13.625" customWidth="1"/>
    <col min="15" max="18" width="14.25" customWidth="1"/>
    <col min="19" max="20" width="9.75" customWidth="1"/>
    <col min="21" max="26" width="8.625" customWidth="1"/>
  </cols>
  <sheetData>
    <row r="1" spans="1:26" ht="7.5" customHeight="1">
      <c r="J1" s="40"/>
      <c r="K1" s="40"/>
      <c r="L1" s="40"/>
      <c r="M1" s="40"/>
      <c r="N1" s="40"/>
      <c r="O1" s="40"/>
      <c r="P1" s="40"/>
      <c r="Q1" s="40"/>
      <c r="R1" s="40"/>
    </row>
    <row r="2" spans="1:26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41"/>
      <c r="K2" s="41"/>
      <c r="L2" s="41"/>
      <c r="M2" s="41"/>
      <c r="N2" s="41"/>
      <c r="O2" s="41"/>
      <c r="P2" s="41"/>
      <c r="Q2" s="41"/>
      <c r="R2" s="41"/>
      <c r="S2" s="1"/>
    </row>
    <row r="3" spans="1:26" ht="18">
      <c r="A3" s="1"/>
      <c r="B3" s="1"/>
      <c r="C3" s="3" t="s">
        <v>79</v>
      </c>
      <c r="D3" s="1"/>
      <c r="E3" s="1"/>
      <c r="F3" s="1"/>
      <c r="G3" s="1"/>
      <c r="H3" s="1"/>
      <c r="I3" s="1"/>
      <c r="J3" s="41"/>
      <c r="K3" s="41"/>
      <c r="L3" s="41"/>
      <c r="M3" s="41"/>
      <c r="N3" s="41"/>
      <c r="O3" s="41"/>
      <c r="P3" s="41"/>
      <c r="Q3" s="41"/>
      <c r="R3" s="41"/>
      <c r="S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41"/>
      <c r="K4" s="41"/>
      <c r="L4" s="41"/>
      <c r="M4" s="41"/>
      <c r="N4" s="41"/>
      <c r="O4" s="41"/>
      <c r="P4" s="41"/>
      <c r="Q4" s="41"/>
      <c r="R4" s="41"/>
      <c r="S4" s="1"/>
    </row>
    <row r="5" spans="1:26">
      <c r="D5" s="42" t="str">
        <f>"Balance sheet check: " &amp;BSCheck</f>
        <v>Balance sheet check: OK</v>
      </c>
      <c r="I5" s="43" t="s">
        <v>56</v>
      </c>
      <c r="J5" s="44"/>
      <c r="K5" s="44">
        <f t="shared" ref="K5:R5" si="0">J6+1</f>
        <v>44562</v>
      </c>
      <c r="L5" s="44">
        <f t="shared" si="0"/>
        <v>44927</v>
      </c>
      <c r="M5" s="44">
        <f t="shared" si="0"/>
        <v>45292</v>
      </c>
      <c r="N5" s="44">
        <f t="shared" si="0"/>
        <v>45658</v>
      </c>
      <c r="O5" s="44">
        <f t="shared" si="0"/>
        <v>46023</v>
      </c>
      <c r="P5" s="44">
        <f t="shared" si="0"/>
        <v>46388</v>
      </c>
      <c r="Q5" s="44">
        <f t="shared" si="0"/>
        <v>46753</v>
      </c>
      <c r="R5" s="44">
        <f t="shared" si="0"/>
        <v>47119</v>
      </c>
      <c r="S5" s="9"/>
      <c r="T5" s="9"/>
    </row>
    <row r="6" spans="1:26">
      <c r="D6" s="42" t="str">
        <f t="array" ref="D6">livescenario</f>
        <v>Live Scenario: Base case</v>
      </c>
      <c r="I6" s="43" t="s">
        <v>57</v>
      </c>
      <c r="J6" s="45">
        <f>Guide!E14-1</f>
        <v>44561</v>
      </c>
      <c r="K6" s="44">
        <f t="shared" ref="K6:R6" si="1">EOMONTH(K5,11)</f>
        <v>44926</v>
      </c>
      <c r="L6" s="44">
        <f t="shared" si="1"/>
        <v>45291</v>
      </c>
      <c r="M6" s="44">
        <f t="shared" si="1"/>
        <v>45657</v>
      </c>
      <c r="N6" s="44">
        <f t="shared" si="1"/>
        <v>46022</v>
      </c>
      <c r="O6" s="44">
        <f t="shared" si="1"/>
        <v>46387</v>
      </c>
      <c r="P6" s="44">
        <f t="shared" si="1"/>
        <v>46752</v>
      </c>
      <c r="Q6" s="44">
        <f t="shared" si="1"/>
        <v>47118</v>
      </c>
      <c r="R6" s="44">
        <f t="shared" si="1"/>
        <v>47483</v>
      </c>
      <c r="S6" s="9"/>
      <c r="T6" s="9"/>
    </row>
    <row r="7" spans="1:26" ht="6" customHeight="1">
      <c r="J7" s="40"/>
      <c r="K7" s="40"/>
      <c r="L7" s="40"/>
      <c r="M7" s="40"/>
      <c r="N7" s="40"/>
      <c r="O7" s="40"/>
      <c r="P7" s="40"/>
      <c r="Q7" s="40"/>
      <c r="R7" s="40"/>
    </row>
    <row r="8" spans="1:26" ht="14.25">
      <c r="A8" s="18"/>
      <c r="B8" s="18"/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18"/>
      <c r="I8" s="18"/>
      <c r="J8" s="46"/>
      <c r="K8" s="46" t="s">
        <v>62</v>
      </c>
      <c r="L8" s="46" t="s">
        <v>62</v>
      </c>
      <c r="M8" s="46" t="s">
        <v>62</v>
      </c>
      <c r="N8" s="46" t="s">
        <v>62</v>
      </c>
      <c r="O8" s="46" t="s">
        <v>63</v>
      </c>
      <c r="P8" s="46" t="s">
        <v>63</v>
      </c>
      <c r="Q8" s="46" t="s">
        <v>63</v>
      </c>
      <c r="R8" s="46" t="s">
        <v>63</v>
      </c>
      <c r="S8" s="18"/>
      <c r="T8" s="18"/>
      <c r="U8" s="18"/>
      <c r="V8" s="18"/>
      <c r="W8" s="18"/>
      <c r="X8" s="18"/>
      <c r="Y8" s="18"/>
      <c r="Z8" s="18"/>
    </row>
    <row r="9" spans="1:26" ht="14.25">
      <c r="J9" s="40"/>
      <c r="K9" s="40"/>
      <c r="L9" s="40"/>
      <c r="M9" s="40"/>
      <c r="N9" s="40"/>
      <c r="O9" s="40"/>
      <c r="P9" s="40"/>
      <c r="Q9" s="40"/>
      <c r="R9" s="40"/>
    </row>
    <row r="10" spans="1:26" ht="14.25">
      <c r="D10" s="6" t="s">
        <v>268</v>
      </c>
      <c r="J10" s="40"/>
      <c r="K10" s="40"/>
      <c r="L10" s="40">
        <v>61991126</v>
      </c>
      <c r="M10" s="40">
        <v>73493480</v>
      </c>
      <c r="N10" s="40">
        <v>80286939</v>
      </c>
      <c r="O10" s="40"/>
      <c r="P10" s="40"/>
      <c r="Q10" s="40"/>
      <c r="R10" s="40"/>
    </row>
    <row r="11" spans="1:26" ht="14.25">
      <c r="D11" s="6" t="s">
        <v>269</v>
      </c>
      <c r="G11" s="6" t="s">
        <v>270</v>
      </c>
      <c r="J11" s="40"/>
      <c r="K11" s="40"/>
      <c r="L11" s="40">
        <v>61991126</v>
      </c>
      <c r="M11" s="40">
        <v>73493480</v>
      </c>
      <c r="N11" s="40">
        <v>80286939</v>
      </c>
      <c r="O11" s="40"/>
      <c r="P11" s="40"/>
      <c r="Q11" s="40"/>
      <c r="R11" s="40"/>
    </row>
    <row r="12" spans="1:26" ht="14.25">
      <c r="D12" s="6" t="s">
        <v>271</v>
      </c>
      <c r="G12" s="6" t="s">
        <v>272</v>
      </c>
      <c r="J12" s="40"/>
      <c r="K12" s="40"/>
      <c r="L12" s="40" t="str">
        <f>IF(L10+L11=L31+L56, "OK", "Check Again")</f>
        <v>OK</v>
      </c>
      <c r="M12" s="40" t="str">
        <f>IF(M10+M11=M31+M56, "OK", "Check Again")</f>
        <v>OK</v>
      </c>
      <c r="N12" s="40" t="str">
        <f>IF(N10+N11=N31+N56, "OK", "Check Again")</f>
        <v>OK</v>
      </c>
      <c r="O12" s="40"/>
      <c r="P12" s="40"/>
      <c r="Q12" s="40"/>
      <c r="R12" s="40"/>
    </row>
    <row r="13" spans="1:26" ht="14.25">
      <c r="G13" s="6" t="s">
        <v>273</v>
      </c>
      <c r="J13" s="40"/>
      <c r="K13" s="40"/>
      <c r="L13" s="40"/>
      <c r="M13" s="40"/>
      <c r="N13" s="40"/>
      <c r="O13" s="40"/>
      <c r="P13" s="40"/>
      <c r="Q13" s="40"/>
      <c r="R13" s="40"/>
    </row>
    <row r="14" spans="1:26" ht="20.25">
      <c r="B14" s="47" t="s">
        <v>79</v>
      </c>
      <c r="C14" s="47"/>
      <c r="D14" s="47"/>
      <c r="E14" s="47"/>
      <c r="F14" s="47"/>
      <c r="G14" s="47"/>
      <c r="H14" s="47"/>
      <c r="I14" s="47"/>
      <c r="J14" s="48"/>
      <c r="K14" s="48"/>
      <c r="L14" s="48"/>
      <c r="M14" s="48"/>
      <c r="N14" s="48"/>
      <c r="O14" s="48"/>
      <c r="P14" s="48"/>
      <c r="Q14" s="48"/>
      <c r="R14" s="48"/>
    </row>
    <row r="15" spans="1:26">
      <c r="C15" s="65" t="s">
        <v>257</v>
      </c>
      <c r="D15" s="65"/>
      <c r="E15" s="65"/>
      <c r="F15" s="65"/>
      <c r="G15" s="65"/>
      <c r="H15" s="65"/>
      <c r="I15" s="65"/>
      <c r="J15" s="67"/>
      <c r="K15" s="67"/>
      <c r="L15" s="67"/>
      <c r="M15" s="67"/>
      <c r="N15" s="67"/>
      <c r="O15" s="67"/>
      <c r="P15" s="67"/>
      <c r="Q15" s="67"/>
      <c r="R15" s="67"/>
    </row>
    <row r="16" spans="1:26">
      <c r="A16" s="19"/>
      <c r="B16" s="19"/>
      <c r="C16" s="19"/>
      <c r="D16" s="19" t="s">
        <v>81</v>
      </c>
      <c r="E16" s="19"/>
      <c r="F16" s="19"/>
      <c r="G16" s="19"/>
      <c r="H16" s="19"/>
      <c r="I16" s="19"/>
      <c r="J16" s="54"/>
      <c r="K16" s="54"/>
      <c r="L16" s="54"/>
      <c r="M16" s="54"/>
      <c r="N16" s="54"/>
      <c r="O16" s="54"/>
      <c r="P16" s="54"/>
      <c r="Q16" s="54"/>
      <c r="R16" s="54"/>
      <c r="S16" s="19"/>
      <c r="T16" s="19"/>
      <c r="U16" s="19"/>
      <c r="V16" s="19"/>
      <c r="W16" s="19"/>
      <c r="X16" s="19"/>
      <c r="Y16" s="19"/>
      <c r="Z16" s="19"/>
    </row>
    <row r="17" spans="1:26" ht="14.25">
      <c r="D17" s="6" t="str">
        <f>Historical!D30</f>
        <v>Property, plant and equipment</v>
      </c>
      <c r="E17" s="25" t="str">
        <f t="shared" ref="E17:E23" si="2">currency</f>
        <v>(₦'000)</v>
      </c>
      <c r="F17" s="6" t="s">
        <v>274</v>
      </c>
      <c r="J17" s="40"/>
      <c r="K17" s="51">
        <v>19565588</v>
      </c>
      <c r="L17" s="40">
        <f>Historical!L30</f>
        <v>22672162</v>
      </c>
      <c r="M17" s="40">
        <f>Historical!M30</f>
        <v>25125748</v>
      </c>
      <c r="N17" s="40">
        <f>Historical!N30</f>
        <v>30937846</v>
      </c>
      <c r="O17" s="40">
        <f>Calculation!O34</f>
        <v>31145306.653850254</v>
      </c>
      <c r="P17" s="40">
        <f>Calculation!P34</f>
        <v>31354158.481568784</v>
      </c>
      <c r="Q17" s="40">
        <f>Calculation!Q34</f>
        <v>31564410.811983474</v>
      </c>
      <c r="R17" s="40">
        <f>Calculation!R34</f>
        <v>31776073.036478743</v>
      </c>
    </row>
    <row r="18" spans="1:26" ht="14.25">
      <c r="D18" s="6" t="str">
        <f>Historical!D31</f>
        <v>Right of use assets</v>
      </c>
      <c r="E18" s="25" t="str">
        <f t="shared" si="2"/>
        <v>(₦'000)</v>
      </c>
      <c r="F18" s="6" t="s">
        <v>274</v>
      </c>
      <c r="J18" s="40"/>
      <c r="K18" s="51">
        <v>380817</v>
      </c>
      <c r="L18" s="40">
        <f>Historical!L31</f>
        <v>315050</v>
      </c>
      <c r="M18" s="40">
        <f>Historical!M31</f>
        <v>0</v>
      </c>
      <c r="N18" s="40">
        <f>Historical!N31</f>
        <v>0</v>
      </c>
      <c r="O18" s="40">
        <f>Calculation!O40</f>
        <v>0</v>
      </c>
      <c r="P18" s="40">
        <f>Calculation!P40</f>
        <v>0</v>
      </c>
      <c r="Q18" s="40">
        <f>Calculation!Q40</f>
        <v>0</v>
      </c>
      <c r="R18" s="40">
        <f>Calculation!R40</f>
        <v>0</v>
      </c>
    </row>
    <row r="19" spans="1:26" ht="14.25">
      <c r="D19" s="6" t="str">
        <f>Historical!D32</f>
        <v>Intangible Assets</v>
      </c>
      <c r="E19" s="25" t="str">
        <f t="shared" si="2"/>
        <v>(₦'000)</v>
      </c>
      <c r="F19" s="6" t="s">
        <v>274</v>
      </c>
      <c r="J19" s="40"/>
      <c r="K19" s="51">
        <v>23544</v>
      </c>
      <c r="L19" s="40">
        <f>Historical!L32</f>
        <v>25577</v>
      </c>
      <c r="M19" s="40">
        <f>Historical!M32</f>
        <v>65471</v>
      </c>
      <c r="N19" s="40">
        <f>Historical!N32</f>
        <v>238235</v>
      </c>
      <c r="O19" s="40">
        <f>Calculation!O46</f>
        <v>343175.14539346495</v>
      </c>
      <c r="P19" s="40">
        <f>Calculation!P46</f>
        <v>494340.3799434416</v>
      </c>
      <c r="Q19" s="40">
        <f>Calculation!Q46</f>
        <v>712092.39516003663</v>
      </c>
      <c r="R19" s="40">
        <f>Calculation!R46</f>
        <v>1025762.0049221413</v>
      </c>
    </row>
    <row r="20" spans="1:26" ht="14.25">
      <c r="D20" s="6" t="str">
        <f>Historical!D33</f>
        <v>Financial assets at FVTOCI</v>
      </c>
      <c r="E20" s="25" t="str">
        <f t="shared" si="2"/>
        <v>(₦'000)</v>
      </c>
      <c r="F20" s="6" t="s">
        <v>275</v>
      </c>
      <c r="J20" s="40"/>
      <c r="K20" s="40"/>
      <c r="L20" s="40">
        <f>Historical!L33</f>
        <v>7730</v>
      </c>
      <c r="M20" s="40">
        <f>Historical!M33</f>
        <v>9100</v>
      </c>
      <c r="N20" s="40">
        <f>Historical!N33</f>
        <v>12360</v>
      </c>
      <c r="O20" s="40">
        <f>Calculation!O84</f>
        <v>12360</v>
      </c>
      <c r="P20" s="40">
        <f>Calculation!P84</f>
        <v>12360</v>
      </c>
      <c r="Q20" s="40">
        <f>Calculation!Q84</f>
        <v>12360</v>
      </c>
      <c r="R20" s="40">
        <f>Calculation!R84</f>
        <v>12360</v>
      </c>
    </row>
    <row r="21" spans="1:26" ht="15.75" customHeight="1">
      <c r="D21" s="56" t="s">
        <v>251</v>
      </c>
      <c r="E21" s="25" t="str">
        <f t="shared" si="2"/>
        <v>(₦'000)</v>
      </c>
      <c r="F21" s="6" t="s">
        <v>275</v>
      </c>
      <c r="J21" s="40"/>
      <c r="K21" s="40"/>
      <c r="L21" s="40">
        <f>Historical!L124</f>
        <v>501193</v>
      </c>
      <c r="M21" s="40">
        <f>Historical!M124</f>
        <v>260145</v>
      </c>
      <c r="N21" s="40">
        <f>Historical!N124</f>
        <v>20498</v>
      </c>
      <c r="O21" s="40">
        <f>Calculation!O89</f>
        <v>20498</v>
      </c>
      <c r="P21" s="40">
        <f>Calculation!P89</f>
        <v>20498</v>
      </c>
      <c r="Q21" s="40">
        <f>Calculation!Q89</f>
        <v>20498</v>
      </c>
      <c r="R21" s="40">
        <f>Calculation!R89</f>
        <v>20498</v>
      </c>
    </row>
    <row r="22" spans="1:26" ht="15.75" customHeight="1">
      <c r="D22" s="6" t="str">
        <f>Historical!D35</f>
        <v>Other Non-Current Financial Asset</v>
      </c>
      <c r="E22" s="25" t="str">
        <f t="shared" si="2"/>
        <v>(₦'000)</v>
      </c>
      <c r="F22" s="6" t="s">
        <v>275</v>
      </c>
      <c r="J22" s="40"/>
      <c r="K22" s="40"/>
      <c r="L22" s="40">
        <f>Historical!L35</f>
        <v>184432</v>
      </c>
      <c r="M22" s="40">
        <f>Historical!M35</f>
        <v>198106</v>
      </c>
      <c r="N22" s="40">
        <f>Historical!N35</f>
        <v>215936</v>
      </c>
      <c r="O22" s="40">
        <f>Calculation!O94</f>
        <v>215936</v>
      </c>
      <c r="P22" s="40">
        <f>Calculation!P94</f>
        <v>215936</v>
      </c>
      <c r="Q22" s="40">
        <f>Calculation!Q94</f>
        <v>215936</v>
      </c>
      <c r="R22" s="40">
        <f>Calculation!R94</f>
        <v>215936</v>
      </c>
    </row>
    <row r="23" spans="1:26" ht="15.75" customHeight="1">
      <c r="A23" s="19"/>
      <c r="B23" s="19"/>
      <c r="C23" s="19"/>
      <c r="D23" s="19" t="s">
        <v>88</v>
      </c>
      <c r="E23" s="25" t="str">
        <f t="shared" si="2"/>
        <v>(₦'000)</v>
      </c>
      <c r="F23" s="6"/>
      <c r="G23" s="19"/>
      <c r="H23" s="19"/>
      <c r="I23" s="19"/>
      <c r="J23" s="54"/>
      <c r="K23" s="54"/>
      <c r="L23" s="84">
        <f t="shared" ref="L23:R23" si="3">L17+L18+L19+L20+L21+L22</f>
        <v>23706144</v>
      </c>
      <c r="M23" s="84">
        <f t="shared" si="3"/>
        <v>25658570</v>
      </c>
      <c r="N23" s="84">
        <f t="shared" si="3"/>
        <v>31424875</v>
      </c>
      <c r="O23" s="84">
        <f t="shared" si="3"/>
        <v>31737275.799243718</v>
      </c>
      <c r="P23" s="84">
        <f t="shared" si="3"/>
        <v>32097292.861512225</v>
      </c>
      <c r="Q23" s="84">
        <f t="shared" si="3"/>
        <v>32525297.207143512</v>
      </c>
      <c r="R23" s="84">
        <f t="shared" si="3"/>
        <v>33050629.041400883</v>
      </c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D24" s="19" t="s">
        <v>89</v>
      </c>
      <c r="J24" s="40"/>
      <c r="K24" s="40"/>
      <c r="L24" s="40"/>
      <c r="M24" s="40"/>
      <c r="N24" s="40"/>
      <c r="O24" s="40"/>
      <c r="P24" s="40"/>
      <c r="Q24" s="40"/>
      <c r="R24" s="40"/>
    </row>
    <row r="25" spans="1:26" ht="15.75" customHeight="1">
      <c r="D25" s="6" t="s">
        <v>90</v>
      </c>
      <c r="E25" s="25" t="str">
        <f t="shared" ref="E25:E31" si="4">currency</f>
        <v>(₦'000)</v>
      </c>
      <c r="F25" s="6" t="s">
        <v>276</v>
      </c>
      <c r="J25" s="40"/>
      <c r="K25" s="40"/>
      <c r="L25" s="40">
        <f>Historical!L38</f>
        <v>16356949</v>
      </c>
      <c r="M25" s="40">
        <f>Historical!M38</f>
        <v>24182294</v>
      </c>
      <c r="N25" s="40">
        <f>Historical!N38</f>
        <v>26547162</v>
      </c>
      <c r="O25" s="40">
        <f>Calculation!O108</f>
        <v>46635333.266135454</v>
      </c>
      <c r="P25" s="40">
        <f>Calculation!P108</f>
        <v>63890406.574605577</v>
      </c>
      <c r="Q25" s="40">
        <f>Calculation!Q108</f>
        <v>83696432.612733319</v>
      </c>
      <c r="R25" s="40">
        <f>Calculation!R108</f>
        <v>104620540.76591665</v>
      </c>
    </row>
    <row r="26" spans="1:26" ht="15.75" customHeight="1">
      <c r="D26" s="56" t="s">
        <v>277</v>
      </c>
      <c r="E26" s="25" t="str">
        <f t="shared" si="4"/>
        <v>(₦'000)</v>
      </c>
      <c r="F26" s="6" t="s">
        <v>276</v>
      </c>
      <c r="J26" s="40"/>
      <c r="K26" s="40"/>
      <c r="L26" s="40">
        <f>Historical!L101</f>
        <v>5440866</v>
      </c>
      <c r="M26" s="40">
        <f>Historical!M101</f>
        <v>5555830</v>
      </c>
      <c r="N26" s="40">
        <f>Historical!N101</f>
        <v>10815636</v>
      </c>
      <c r="O26" s="40">
        <f>Calculation!O109</f>
        <v>14778688.8673371</v>
      </c>
      <c r="P26" s="40">
        <f>Calculation!P109</f>
        <v>20246803.748251829</v>
      </c>
      <c r="Q26" s="40">
        <f>Calculation!Q109</f>
        <v>26523312.910209898</v>
      </c>
      <c r="R26" s="40">
        <f>Calculation!R109</f>
        <v>33154141.137762375</v>
      </c>
    </row>
    <row r="27" spans="1:26" ht="15.75" customHeight="1">
      <c r="D27" s="6" t="s">
        <v>140</v>
      </c>
      <c r="E27" s="25" t="str">
        <f t="shared" si="4"/>
        <v>(₦'000)</v>
      </c>
      <c r="F27" s="6" t="s">
        <v>276</v>
      </c>
      <c r="J27" s="40"/>
      <c r="K27" s="40"/>
      <c r="L27" s="40">
        <f>Historical!L102</f>
        <v>446961</v>
      </c>
      <c r="M27" s="40">
        <f>Historical!M102</f>
        <v>652385</v>
      </c>
      <c r="N27" s="40">
        <f>Historical!N102</f>
        <v>252591</v>
      </c>
      <c r="O27" s="40">
        <f>Calculation!O110</f>
        <v>252591</v>
      </c>
      <c r="P27" s="40">
        <f>Calculation!P110</f>
        <v>252591</v>
      </c>
      <c r="Q27" s="40">
        <f>Calculation!Q110</f>
        <v>252591</v>
      </c>
      <c r="R27" s="40">
        <f>Calculation!R110</f>
        <v>252591</v>
      </c>
    </row>
    <row r="28" spans="1:26" ht="15.75" customHeight="1">
      <c r="D28" s="6" t="s">
        <v>199</v>
      </c>
      <c r="E28" s="25" t="str">
        <f t="shared" si="4"/>
        <v>(₦'000)</v>
      </c>
      <c r="F28" s="6" t="s">
        <v>276</v>
      </c>
      <c r="J28" s="40"/>
      <c r="K28" s="40"/>
      <c r="L28" s="40">
        <f>Historical!L41</f>
        <v>5253563</v>
      </c>
      <c r="M28" s="40">
        <f>Historical!M41</f>
        <v>12513033</v>
      </c>
      <c r="N28" s="40">
        <f>Historical!N41</f>
        <v>6535857</v>
      </c>
      <c r="O28" s="40">
        <f>Calculation!O111</f>
        <v>17285619.370515093</v>
      </c>
      <c r="P28" s="40">
        <f>Calculation!P111</f>
        <v>23681298.537605681</v>
      </c>
      <c r="Q28" s="40">
        <f>Calculation!Q111</f>
        <v>31022501.084263444</v>
      </c>
      <c r="R28" s="40">
        <f>Calculation!R111</f>
        <v>38778126.355329305</v>
      </c>
    </row>
    <row r="29" spans="1:26" ht="15.75" customHeight="1">
      <c r="D29" s="6" t="s">
        <v>94</v>
      </c>
      <c r="E29" s="25" t="str">
        <f t="shared" si="4"/>
        <v>(₦'000)</v>
      </c>
      <c r="F29" s="6"/>
      <c r="J29" s="40"/>
      <c r="K29" s="51">
        <v>2115136</v>
      </c>
      <c r="L29" s="40">
        <f>Historical!L42</f>
        <v>10786643</v>
      </c>
      <c r="M29" s="40">
        <f>Historical!M42</f>
        <v>4931368</v>
      </c>
      <c r="N29" s="40">
        <f>Historical!N42</f>
        <v>4710818</v>
      </c>
      <c r="O29" s="40">
        <f>Cashflow!O44</f>
        <v>2000000</v>
      </c>
      <c r="P29" s="40">
        <f>Cashflow!P44</f>
        <v>2000000</v>
      </c>
      <c r="Q29" s="40">
        <f>Cashflow!Q44</f>
        <v>2000000</v>
      </c>
      <c r="R29" s="40">
        <f>Cashflow!R44</f>
        <v>2000000</v>
      </c>
    </row>
    <row r="30" spans="1:26" ht="15.75" customHeight="1">
      <c r="A30" s="19"/>
      <c r="B30" s="19"/>
      <c r="C30" s="19"/>
      <c r="D30" s="19" t="s">
        <v>95</v>
      </c>
      <c r="E30" s="19" t="str">
        <f t="shared" si="4"/>
        <v>(₦'000)</v>
      </c>
      <c r="F30" s="19"/>
      <c r="G30" s="19"/>
      <c r="H30" s="19"/>
      <c r="I30" s="19"/>
      <c r="J30" s="54"/>
      <c r="K30" s="54"/>
      <c r="L30" s="84">
        <f t="shared" ref="L30:R30" si="5">SUM(L25:L29)</f>
        <v>38284982</v>
      </c>
      <c r="M30" s="84">
        <f t="shared" si="5"/>
        <v>47834910</v>
      </c>
      <c r="N30" s="84">
        <f t="shared" si="5"/>
        <v>48862064</v>
      </c>
      <c r="O30" s="84">
        <f t="shared" si="5"/>
        <v>80952232.50398764</v>
      </c>
      <c r="P30" s="84">
        <f t="shared" si="5"/>
        <v>110071099.86046308</v>
      </c>
      <c r="Q30" s="84">
        <f t="shared" si="5"/>
        <v>143494837.60720664</v>
      </c>
      <c r="R30" s="84">
        <f t="shared" si="5"/>
        <v>178805399.25900832</v>
      </c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19"/>
      <c r="C31" s="19"/>
      <c r="D31" s="19" t="s">
        <v>96</v>
      </c>
      <c r="E31" s="19" t="str">
        <f t="shared" si="4"/>
        <v>(₦'000)</v>
      </c>
      <c r="F31" s="19"/>
      <c r="G31" s="19"/>
      <c r="H31" s="19"/>
      <c r="I31" s="19"/>
      <c r="J31" s="54"/>
      <c r="K31" s="54"/>
      <c r="L31" s="86">
        <f t="shared" ref="L31:R31" si="6">L23+L30</f>
        <v>61991126</v>
      </c>
      <c r="M31" s="86">
        <f t="shared" si="6"/>
        <v>73493480</v>
      </c>
      <c r="N31" s="86">
        <f t="shared" si="6"/>
        <v>80286939</v>
      </c>
      <c r="O31" s="86">
        <f t="shared" si="6"/>
        <v>112689508.30323136</v>
      </c>
      <c r="P31" s="86">
        <f t="shared" si="6"/>
        <v>142168392.7219753</v>
      </c>
      <c r="Q31" s="86">
        <f t="shared" si="6"/>
        <v>176020134.81435016</v>
      </c>
      <c r="R31" s="86">
        <f t="shared" si="6"/>
        <v>211856028.3004092</v>
      </c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J32" s="40"/>
      <c r="K32" s="40"/>
      <c r="L32" s="40"/>
      <c r="M32" s="40"/>
      <c r="N32" s="40"/>
      <c r="O32" s="40"/>
      <c r="P32" s="40"/>
      <c r="Q32" s="40"/>
      <c r="R32" s="40"/>
    </row>
    <row r="33" spans="3:18" ht="15.75" customHeight="1">
      <c r="C33" s="65" t="s">
        <v>97</v>
      </c>
      <c r="D33" s="65"/>
      <c r="E33" s="65"/>
      <c r="F33" s="65"/>
      <c r="G33" s="65"/>
      <c r="H33" s="65"/>
      <c r="I33" s="65"/>
      <c r="J33" s="67"/>
      <c r="K33" s="67"/>
      <c r="L33" s="67"/>
      <c r="M33" s="67"/>
      <c r="N33" s="67"/>
      <c r="O33" s="67"/>
      <c r="P33" s="67"/>
      <c r="Q33" s="67"/>
      <c r="R33" s="67"/>
    </row>
    <row r="34" spans="3:18" ht="15.75" customHeight="1">
      <c r="D34" s="6" t="s">
        <v>98</v>
      </c>
      <c r="E34" s="25" t="str">
        <f>currency</f>
        <v>(₦'000)</v>
      </c>
      <c r="F34" s="6" t="s">
        <v>275</v>
      </c>
      <c r="J34" s="40"/>
      <c r="K34" s="40"/>
      <c r="L34" s="40">
        <f>Historical!L47</f>
        <v>1147498</v>
      </c>
      <c r="M34" s="40">
        <f>Historical!M47</f>
        <v>1147498</v>
      </c>
      <c r="N34" s="40">
        <f>Historical!N47</f>
        <v>1200000</v>
      </c>
      <c r="O34" s="40">
        <f>Calculation!O69</f>
        <v>1200000</v>
      </c>
      <c r="P34" s="40">
        <f>Calculation!P69</f>
        <v>1200000</v>
      </c>
      <c r="Q34" s="40">
        <f>Calculation!Q69</f>
        <v>1200000</v>
      </c>
      <c r="R34" s="40">
        <f>Calculation!R69</f>
        <v>1200000</v>
      </c>
    </row>
    <row r="35" spans="3:18" ht="15.75" customHeight="1">
      <c r="D35" s="6" t="s">
        <v>99</v>
      </c>
      <c r="E35" s="25" t="str">
        <f>currency</f>
        <v>(₦'000)</v>
      </c>
      <c r="F35" s="6" t="s">
        <v>275</v>
      </c>
      <c r="J35" s="40"/>
      <c r="K35" s="40"/>
      <c r="L35" s="40">
        <f>Historical!L48</f>
        <v>4829614</v>
      </c>
      <c r="M35" s="40">
        <f>Historical!M48</f>
        <v>4829614</v>
      </c>
      <c r="N35" s="40">
        <f>Historical!N48</f>
        <v>5009225</v>
      </c>
      <c r="O35" s="40">
        <f>Calculation!O74</f>
        <v>5009225</v>
      </c>
      <c r="P35" s="40">
        <f>Calculation!P74</f>
        <v>5009225</v>
      </c>
      <c r="Q35" s="40">
        <f>Calculation!Q74</f>
        <v>5009225</v>
      </c>
      <c r="R35" s="40">
        <f>Calculation!R74</f>
        <v>5009225</v>
      </c>
    </row>
    <row r="36" spans="3:18" ht="15.75" customHeight="1">
      <c r="D36" s="6" t="s">
        <v>100</v>
      </c>
      <c r="E36" s="25" t="str">
        <f>currency</f>
        <v>(₦'000)</v>
      </c>
      <c r="F36" s="6" t="s">
        <v>274</v>
      </c>
      <c r="J36" s="40"/>
      <c r="K36" s="40"/>
      <c r="L36" s="40">
        <f>Historical!L49</f>
        <v>13313331</v>
      </c>
      <c r="M36" s="40">
        <f>Historical!M49</f>
        <v>16364125</v>
      </c>
      <c r="N36" s="40">
        <f>Historical!N49</f>
        <v>23979687</v>
      </c>
      <c r="O36" s="40">
        <f>Calculation!O52</f>
        <v>34260673.128055558</v>
      </c>
      <c r="P36" s="40">
        <f>Calculation!P52</f>
        <v>49647497.580966085</v>
      </c>
      <c r="Q36" s="40">
        <f>Calculation!Q52</f>
        <v>71268637.715186223</v>
      </c>
      <c r="R36" s="40">
        <f>Calculation!R52</f>
        <v>99708679.547554359</v>
      </c>
    </row>
    <row r="37" spans="3:18" ht="15.75" customHeight="1">
      <c r="D37" s="56" t="s">
        <v>101</v>
      </c>
      <c r="E37" s="25" t="str">
        <f>currency</f>
        <v>(₦'000)</v>
      </c>
      <c r="F37" s="6" t="s">
        <v>275</v>
      </c>
      <c r="J37" s="40"/>
      <c r="K37" s="40"/>
      <c r="L37" s="40">
        <f>Historical!L50</f>
        <v>3285</v>
      </c>
      <c r="M37" s="40">
        <f>Historical!M50</f>
        <v>4655</v>
      </c>
      <c r="N37" s="40">
        <f>Historical!N50</f>
        <v>7915</v>
      </c>
      <c r="O37" s="40">
        <f>Calculation!O79</f>
        <v>7915</v>
      </c>
      <c r="P37" s="40">
        <f>Calculation!P79</f>
        <v>7915</v>
      </c>
      <c r="Q37" s="40">
        <f>Calculation!Q79</f>
        <v>7915</v>
      </c>
      <c r="R37" s="40">
        <f>Calculation!R79</f>
        <v>7915</v>
      </c>
    </row>
    <row r="38" spans="3:18" ht="15.75" customHeight="1">
      <c r="D38" s="19" t="s">
        <v>102</v>
      </c>
      <c r="J38" s="40"/>
      <c r="K38" s="40"/>
      <c r="L38" s="86">
        <f t="shared" ref="L38:R38" si="7">SUM(L34:L37)</f>
        <v>19293728</v>
      </c>
      <c r="M38" s="86">
        <f t="shared" si="7"/>
        <v>22345892</v>
      </c>
      <c r="N38" s="86">
        <f t="shared" si="7"/>
        <v>30196827</v>
      </c>
      <c r="O38" s="86">
        <f t="shared" si="7"/>
        <v>40477813.128055558</v>
      </c>
      <c r="P38" s="86">
        <f t="shared" si="7"/>
        <v>55864637.580966085</v>
      </c>
      <c r="Q38" s="86">
        <f t="shared" si="7"/>
        <v>77485777.715186223</v>
      </c>
      <c r="R38" s="86">
        <f t="shared" si="7"/>
        <v>105925819.54755436</v>
      </c>
    </row>
    <row r="39" spans="3:18" ht="15.75" customHeight="1">
      <c r="J39" s="40"/>
      <c r="K39" s="40"/>
      <c r="L39" s="40"/>
      <c r="M39" s="40"/>
      <c r="N39" s="40"/>
      <c r="O39" s="40"/>
      <c r="P39" s="40"/>
      <c r="Q39" s="40"/>
      <c r="R39" s="40"/>
    </row>
    <row r="40" spans="3:18" ht="15.75" customHeight="1">
      <c r="C40" s="65" t="s">
        <v>103</v>
      </c>
      <c r="D40" s="65"/>
      <c r="E40" s="65"/>
      <c r="F40" s="65"/>
      <c r="G40" s="65"/>
      <c r="H40" s="65"/>
      <c r="I40" s="65"/>
      <c r="J40" s="67"/>
      <c r="K40" s="67"/>
      <c r="L40" s="67"/>
      <c r="M40" s="67"/>
      <c r="N40" s="67"/>
      <c r="O40" s="67"/>
      <c r="P40" s="67"/>
      <c r="Q40" s="67"/>
      <c r="R40" s="67"/>
    </row>
    <row r="41" spans="3:18" ht="15.75" customHeight="1">
      <c r="D41" s="19" t="s">
        <v>104</v>
      </c>
      <c r="J41" s="40"/>
      <c r="K41" s="40"/>
      <c r="L41" s="40"/>
      <c r="M41" s="40"/>
      <c r="N41" s="40"/>
      <c r="O41" s="40"/>
      <c r="P41" s="40"/>
      <c r="Q41" s="40"/>
      <c r="R41" s="40"/>
    </row>
    <row r="42" spans="3:18" ht="15.75" customHeight="1">
      <c r="D42" s="6" t="s">
        <v>144</v>
      </c>
      <c r="E42" s="25" t="str">
        <f>currency</f>
        <v>(₦'000)</v>
      </c>
      <c r="F42" s="6" t="s">
        <v>274</v>
      </c>
      <c r="J42" s="40"/>
      <c r="K42" s="40">
        <f>Historical!K107</f>
        <v>11544852</v>
      </c>
      <c r="L42" s="40">
        <f>Historical!L107</f>
        <v>17773895</v>
      </c>
      <c r="M42" s="40">
        <f>Historical!M107</f>
        <v>15997308</v>
      </c>
      <c r="N42" s="40">
        <f>Historical!N107</f>
        <v>14003303</v>
      </c>
      <c r="O42" s="40">
        <f>Calculation!O58</f>
        <v>15138887</v>
      </c>
      <c r="P42" s="40">
        <f>Calculation!P58</f>
        <v>14152271.999999998</v>
      </c>
      <c r="Q42" s="40">
        <f>Calculation!Q58</f>
        <v>13298619.999999996</v>
      </c>
      <c r="R42" s="40">
        <f>Calculation!R58</f>
        <v>13063725.666666664</v>
      </c>
    </row>
    <row r="43" spans="3:18" ht="15.75" customHeight="1">
      <c r="D43" s="56" t="s">
        <v>106</v>
      </c>
      <c r="E43" s="25" t="str">
        <f>currency</f>
        <v>(₦'000)</v>
      </c>
      <c r="F43" s="6" t="s">
        <v>275</v>
      </c>
      <c r="J43" s="40"/>
      <c r="K43" s="40"/>
      <c r="L43" s="40">
        <f>Historical!L56</f>
        <v>252158</v>
      </c>
      <c r="M43" s="40">
        <f>Historical!M56</f>
        <v>251090</v>
      </c>
      <c r="N43" s="40">
        <f>Historical!N56</f>
        <v>160139</v>
      </c>
      <c r="O43" s="40">
        <f>Calculation!O99</f>
        <v>160139</v>
      </c>
      <c r="P43" s="40">
        <f>Calculation!P99</f>
        <v>160139</v>
      </c>
      <c r="Q43" s="40">
        <f>Calculation!Q99</f>
        <v>160139</v>
      </c>
      <c r="R43" s="40">
        <f>Calculation!R99</f>
        <v>160139</v>
      </c>
    </row>
    <row r="44" spans="3:18" ht="15.75" customHeight="1">
      <c r="D44" s="56" t="s">
        <v>107</v>
      </c>
      <c r="E44" s="25" t="str">
        <f>currency</f>
        <v>(₦'000)</v>
      </c>
      <c r="F44" s="6" t="s">
        <v>275</v>
      </c>
      <c r="J44" s="40"/>
      <c r="K44" s="40"/>
      <c r="L44" s="40">
        <f>Historical!L112</f>
        <v>1001826</v>
      </c>
      <c r="M44" s="40">
        <f>Historical!M112</f>
        <v>1278086</v>
      </c>
      <c r="N44" s="40">
        <f>Historical!N112</f>
        <v>634755</v>
      </c>
      <c r="O44" s="40">
        <f>Calculation!O104</f>
        <v>634755</v>
      </c>
      <c r="P44" s="40">
        <f>Calculation!P104</f>
        <v>634755</v>
      </c>
      <c r="Q44" s="40">
        <f>Calculation!Q104</f>
        <v>634755</v>
      </c>
      <c r="R44" s="40">
        <f>Calculation!R104</f>
        <v>634755</v>
      </c>
    </row>
    <row r="45" spans="3:18" ht="15.75" customHeight="1">
      <c r="D45" s="6" t="s">
        <v>108</v>
      </c>
      <c r="E45" s="25" t="str">
        <f>currency</f>
        <v>(₦'000)</v>
      </c>
      <c r="F45" s="6" t="s">
        <v>276</v>
      </c>
      <c r="J45" s="40"/>
      <c r="K45" s="40"/>
      <c r="L45" s="40">
        <f>Historical!L58</f>
        <v>2871885</v>
      </c>
      <c r="M45" s="40">
        <f>Historical!M58</f>
        <v>3836608</v>
      </c>
      <c r="N45" s="40">
        <f>Historical!N58</f>
        <v>4676504</v>
      </c>
      <c r="O45" s="40">
        <f>Calculation!O118</f>
        <v>4676504</v>
      </c>
      <c r="P45" s="40">
        <f>Calculation!P118</f>
        <v>4396538.666666667</v>
      </c>
      <c r="Q45" s="40">
        <f>Calculation!Q118</f>
        <v>4583182.2222222229</v>
      </c>
      <c r="R45" s="40">
        <f>Calculation!R118</f>
        <v>4552074.9629629636</v>
      </c>
    </row>
    <row r="46" spans="3:18" ht="15.75" customHeight="1">
      <c r="D46" s="19" t="s">
        <v>109</v>
      </c>
      <c r="E46" s="19" t="str">
        <f>currency</f>
        <v>(₦'000)</v>
      </c>
      <c r="J46" s="40"/>
      <c r="K46" s="40"/>
      <c r="L46" s="84">
        <f t="shared" ref="L46:R46" si="8">SUM(L42:L45)</f>
        <v>21899764</v>
      </c>
      <c r="M46" s="84">
        <f t="shared" si="8"/>
        <v>21363092</v>
      </c>
      <c r="N46" s="84">
        <f t="shared" si="8"/>
        <v>19474701</v>
      </c>
      <c r="O46" s="84">
        <f t="shared" si="8"/>
        <v>20610285</v>
      </c>
      <c r="P46" s="84">
        <f t="shared" si="8"/>
        <v>19343704.666666664</v>
      </c>
      <c r="Q46" s="84">
        <f t="shared" si="8"/>
        <v>18676696.22222222</v>
      </c>
      <c r="R46" s="84">
        <f t="shared" si="8"/>
        <v>18410694.629629627</v>
      </c>
    </row>
    <row r="47" spans="3:18" ht="15.75" customHeight="1">
      <c r="D47" s="19" t="s">
        <v>110</v>
      </c>
      <c r="E47" s="19"/>
      <c r="J47" s="40"/>
      <c r="K47" s="40"/>
      <c r="L47" s="40"/>
      <c r="M47" s="40"/>
      <c r="N47" s="40"/>
      <c r="O47" s="40"/>
      <c r="P47" s="40"/>
      <c r="Q47" s="40"/>
      <c r="R47" s="40"/>
    </row>
    <row r="48" spans="3:18" ht="15.75" customHeight="1">
      <c r="D48" s="6" t="s">
        <v>213</v>
      </c>
      <c r="E48" s="25" t="str">
        <f t="shared" ref="E48:E54" si="9">currency</f>
        <v>(₦'000)</v>
      </c>
      <c r="F48" s="6" t="s">
        <v>276</v>
      </c>
      <c r="J48" s="40"/>
      <c r="K48" s="40"/>
      <c r="L48" s="87">
        <f>Historical!L118</f>
        <v>7048804</v>
      </c>
      <c r="M48" s="87">
        <f>Historical!M118</f>
        <v>8576642</v>
      </c>
      <c r="N48" s="87">
        <f>Historical!N118</f>
        <v>4447042</v>
      </c>
      <c r="O48" s="87">
        <f>Calculation!O115</f>
        <v>15509379.38172658</v>
      </c>
      <c r="P48" s="87">
        <f>Calculation!P115</f>
        <v>21247849.752965417</v>
      </c>
      <c r="Q48" s="87">
        <f>Calculation!Q115</f>
        <v>27834683.176384695</v>
      </c>
      <c r="R48" s="87">
        <f>Calculation!R115</f>
        <v>34793353.970480874</v>
      </c>
    </row>
    <row r="49" spans="1:26" ht="15.75" customHeight="1">
      <c r="D49" s="6" t="s">
        <v>152</v>
      </c>
      <c r="E49" s="25" t="str">
        <f t="shared" si="9"/>
        <v>(₦'000)</v>
      </c>
      <c r="F49" s="6" t="s">
        <v>276</v>
      </c>
      <c r="J49" s="40"/>
      <c r="K49" s="40"/>
      <c r="L49" s="87">
        <f>Historical!L119</f>
        <v>2127952</v>
      </c>
      <c r="M49" s="87">
        <f>Historical!M119</f>
        <v>1927978</v>
      </c>
      <c r="N49" s="87">
        <f>Historical!N119</f>
        <v>2262787</v>
      </c>
      <c r="O49" s="87">
        <f>Calculation!O116</f>
        <v>2262787</v>
      </c>
      <c r="P49" s="87">
        <f>Calculation!P116</f>
        <v>2262787</v>
      </c>
      <c r="Q49" s="87">
        <f>Calculation!Q116</f>
        <v>2262787</v>
      </c>
      <c r="R49" s="87">
        <f>Calculation!R116</f>
        <v>2262787</v>
      </c>
    </row>
    <row r="50" spans="1:26" ht="15.75" customHeight="1">
      <c r="D50" s="56" t="s">
        <v>113</v>
      </c>
      <c r="E50" s="25" t="str">
        <f t="shared" si="9"/>
        <v>(₦'000)</v>
      </c>
      <c r="F50" s="6" t="s">
        <v>276</v>
      </c>
      <c r="J50" s="40"/>
      <c r="K50" s="40"/>
      <c r="L50" s="87">
        <f>Historical!L63</f>
        <v>781784</v>
      </c>
      <c r="M50" s="87">
        <f>Historical!M63</f>
        <v>1283797</v>
      </c>
      <c r="N50" s="87">
        <f>Historical!N63</f>
        <v>9528</v>
      </c>
      <c r="O50" s="87">
        <f>Calculation!O117</f>
        <v>4384741.4601158854</v>
      </c>
      <c r="P50" s="87">
        <f>Calculation!P117</f>
        <v>8940313.6102660224</v>
      </c>
      <c r="Q50" s="87">
        <f>Calculation!Q117</f>
        <v>10380610.21907552</v>
      </c>
      <c r="R50" s="87">
        <f>Calculation!R117</f>
        <v>5922617.1774356896</v>
      </c>
    </row>
    <row r="51" spans="1:26" ht="15.75" customHeight="1">
      <c r="D51" s="56" t="s">
        <v>278</v>
      </c>
      <c r="E51" s="25" t="str">
        <f t="shared" si="9"/>
        <v>(₦'000)</v>
      </c>
      <c r="F51" s="6" t="s">
        <v>274</v>
      </c>
      <c r="J51" s="40"/>
      <c r="K51" s="40">
        <f>Historical!K64</f>
        <v>3000000</v>
      </c>
      <c r="L51" s="87">
        <f>Historical!L64</f>
        <v>10000000</v>
      </c>
      <c r="M51" s="87">
        <f>Historical!M64</f>
        <v>15646950</v>
      </c>
      <c r="N51" s="87">
        <f>Historical!N64</f>
        <v>19645345</v>
      </c>
      <c r="O51" s="87">
        <f>Calculation!O64</f>
        <v>25193793.333333328</v>
      </c>
      <c r="P51" s="87">
        <f>Calculation!P64</f>
        <v>30258391.111111104</v>
      </c>
      <c r="Q51" s="87">
        <f>Calculation!Q64</f>
        <v>35128871.481481478</v>
      </c>
      <c r="R51" s="87">
        <f>Calculation!R64</f>
        <v>40290046.975308642</v>
      </c>
    </row>
    <row r="52" spans="1:26" ht="15.75" customHeight="1">
      <c r="D52" s="56" t="s">
        <v>115</v>
      </c>
      <c r="E52" s="25" t="str">
        <f t="shared" si="9"/>
        <v>(₦'000)</v>
      </c>
      <c r="F52" s="6" t="s">
        <v>276</v>
      </c>
      <c r="J52" s="40"/>
      <c r="K52" s="40"/>
      <c r="L52" s="87">
        <f>Historical!L66</f>
        <v>839094</v>
      </c>
      <c r="M52" s="87">
        <f>Historical!M66</f>
        <v>2349129</v>
      </c>
      <c r="N52" s="87">
        <f>Historical!N66</f>
        <v>4250709</v>
      </c>
      <c r="O52" s="87">
        <f>Calculation!O119</f>
        <v>4250709</v>
      </c>
      <c r="P52" s="87">
        <f>Calculation!P119</f>
        <v>4250709</v>
      </c>
      <c r="Q52" s="87">
        <f>Calculation!Q119</f>
        <v>4250709</v>
      </c>
      <c r="R52" s="87">
        <f>Calculation!R119</f>
        <v>4250709</v>
      </c>
    </row>
    <row r="53" spans="1:26" ht="15.75" customHeight="1">
      <c r="D53" s="19" t="s">
        <v>117</v>
      </c>
      <c r="E53" s="19" t="str">
        <f t="shared" si="9"/>
        <v>(₦'000)</v>
      </c>
      <c r="J53" s="40"/>
      <c r="K53" s="40"/>
      <c r="L53" s="84">
        <f t="shared" ref="L53:R53" si="10">SUM(L48:L52)</f>
        <v>20797634</v>
      </c>
      <c r="M53" s="84">
        <f t="shared" si="10"/>
        <v>29784496</v>
      </c>
      <c r="N53" s="84">
        <f t="shared" si="10"/>
        <v>30615411</v>
      </c>
      <c r="O53" s="84">
        <f t="shared" si="10"/>
        <v>51601410.175175793</v>
      </c>
      <c r="P53" s="84">
        <f t="shared" si="10"/>
        <v>66960050.47434254</v>
      </c>
      <c r="Q53" s="84">
        <f t="shared" si="10"/>
        <v>79857660.876941696</v>
      </c>
      <c r="R53" s="84">
        <f t="shared" si="10"/>
        <v>87519514.123225212</v>
      </c>
    </row>
    <row r="54" spans="1:26" ht="15.75" customHeight="1">
      <c r="D54" s="19" t="s">
        <v>118</v>
      </c>
      <c r="E54" s="19" t="str">
        <f t="shared" si="9"/>
        <v>(₦'000)</v>
      </c>
      <c r="J54" s="40"/>
      <c r="K54" s="40"/>
      <c r="L54" s="86">
        <f t="shared" ref="L54:R54" si="11">L53+L46</f>
        <v>42697398</v>
      </c>
      <c r="M54" s="86">
        <f t="shared" si="11"/>
        <v>51147588</v>
      </c>
      <c r="N54" s="86">
        <f t="shared" si="11"/>
        <v>50090112</v>
      </c>
      <c r="O54" s="86">
        <f t="shared" si="11"/>
        <v>72211695.175175786</v>
      </c>
      <c r="P54" s="86">
        <f t="shared" si="11"/>
        <v>86303755.141009212</v>
      </c>
      <c r="Q54" s="86">
        <f t="shared" si="11"/>
        <v>98534357.09916392</v>
      </c>
      <c r="R54" s="86">
        <f t="shared" si="11"/>
        <v>105930208.75285484</v>
      </c>
    </row>
    <row r="55" spans="1:26" ht="15.75" customHeight="1">
      <c r="J55" s="40"/>
      <c r="K55" s="40"/>
      <c r="L55" s="40"/>
      <c r="M55" s="40"/>
      <c r="N55" s="40"/>
      <c r="O55" s="40"/>
      <c r="P55" s="40"/>
      <c r="Q55" s="40"/>
      <c r="R55" s="40"/>
    </row>
    <row r="56" spans="1:26" ht="15.75" customHeight="1">
      <c r="D56" s="19" t="s">
        <v>119</v>
      </c>
      <c r="J56" s="40"/>
      <c r="K56" s="40"/>
      <c r="L56" s="86">
        <f t="shared" ref="L56:R56" si="12">L38+L54</f>
        <v>61991126</v>
      </c>
      <c r="M56" s="86">
        <f t="shared" si="12"/>
        <v>73493480</v>
      </c>
      <c r="N56" s="86">
        <f t="shared" si="12"/>
        <v>80286939</v>
      </c>
      <c r="O56" s="86">
        <f t="shared" si="12"/>
        <v>112689508.30323134</v>
      </c>
      <c r="P56" s="86">
        <f t="shared" si="12"/>
        <v>142168392.7219753</v>
      </c>
      <c r="Q56" s="86">
        <f t="shared" si="12"/>
        <v>176020134.81435013</v>
      </c>
      <c r="R56" s="86">
        <f t="shared" si="12"/>
        <v>211856028.3004092</v>
      </c>
    </row>
    <row r="57" spans="1:26" ht="15.75" customHeight="1">
      <c r="J57" s="40"/>
      <c r="K57" s="40"/>
      <c r="L57" s="40"/>
      <c r="M57" s="40"/>
      <c r="N57" s="40"/>
      <c r="O57" s="40"/>
      <c r="P57" s="40"/>
      <c r="Q57" s="40"/>
      <c r="R57" s="40"/>
    </row>
    <row r="58" spans="1:26" ht="15.75" customHeight="1">
      <c r="A58" s="19"/>
      <c r="B58" s="19"/>
      <c r="C58" s="19"/>
      <c r="D58" s="19" t="s">
        <v>120</v>
      </c>
      <c r="E58" s="19" t="str">
        <f>currency</f>
        <v>(₦'000)</v>
      </c>
      <c r="F58" s="19" t="str">
        <f>IF(SUM(L58:R58)=0, "OK", "Error")</f>
        <v>OK</v>
      </c>
      <c r="G58" s="19"/>
      <c r="H58" s="19"/>
      <c r="I58" s="19"/>
      <c r="J58" s="54"/>
      <c r="K58" s="54"/>
      <c r="L58" s="87">
        <f t="shared" ref="L58:R58" si="13">L31-L56</f>
        <v>0</v>
      </c>
      <c r="M58" s="87">
        <f t="shared" si="13"/>
        <v>0</v>
      </c>
      <c r="N58" s="87">
        <f t="shared" si="13"/>
        <v>0</v>
      </c>
      <c r="O58" s="87">
        <f t="shared" si="13"/>
        <v>0</v>
      </c>
      <c r="P58" s="87">
        <f t="shared" si="13"/>
        <v>0</v>
      </c>
      <c r="Q58" s="87">
        <f t="shared" si="13"/>
        <v>0</v>
      </c>
      <c r="R58" s="87">
        <f t="shared" si="13"/>
        <v>0</v>
      </c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J59" s="40"/>
      <c r="K59" s="40"/>
      <c r="L59" s="40"/>
      <c r="M59" s="40"/>
      <c r="N59" s="40"/>
      <c r="O59" s="40"/>
      <c r="P59" s="40"/>
      <c r="Q59" s="40"/>
      <c r="R59" s="40"/>
    </row>
    <row r="60" spans="1:26" ht="15.75" customHeight="1">
      <c r="J60" s="40"/>
      <c r="K60" s="40"/>
      <c r="L60" s="40"/>
      <c r="M60" s="40"/>
      <c r="N60" s="40"/>
      <c r="O60" s="40"/>
      <c r="P60" s="40"/>
      <c r="Q60" s="40"/>
      <c r="R60" s="40"/>
    </row>
    <row r="61" spans="1:26" ht="15.75" customHeight="1">
      <c r="J61" s="40"/>
      <c r="K61" s="40"/>
      <c r="L61" s="40"/>
      <c r="M61" s="40"/>
      <c r="N61" s="40"/>
      <c r="O61" s="40"/>
      <c r="P61" s="40"/>
      <c r="Q61" s="40"/>
      <c r="R61" s="40"/>
    </row>
    <row r="62" spans="1:26" ht="15.75" customHeight="1">
      <c r="J62" s="40"/>
      <c r="K62" s="40"/>
      <c r="L62" s="40"/>
      <c r="M62" s="40"/>
      <c r="N62" s="40"/>
      <c r="O62" s="40"/>
      <c r="P62" s="40"/>
      <c r="Q62" s="40"/>
      <c r="R62" s="40"/>
    </row>
    <row r="63" spans="1:26" ht="15.75" customHeight="1">
      <c r="J63" s="40"/>
      <c r="K63" s="40"/>
      <c r="L63" s="40"/>
      <c r="M63" s="40"/>
      <c r="N63" s="40"/>
      <c r="O63" s="40"/>
      <c r="P63" s="40"/>
      <c r="Q63" s="40"/>
      <c r="R63" s="40"/>
    </row>
    <row r="64" spans="1:26" ht="15.75" customHeight="1">
      <c r="J64" s="40"/>
      <c r="K64" s="40"/>
      <c r="L64" s="40"/>
      <c r="M64" s="40"/>
      <c r="N64" s="40"/>
      <c r="O64" s="40"/>
      <c r="P64" s="40"/>
      <c r="Q64" s="40"/>
      <c r="R64" s="40"/>
    </row>
    <row r="65" spans="10:18" ht="15.75" customHeight="1">
      <c r="J65" s="40"/>
      <c r="K65" s="40"/>
      <c r="L65" s="40"/>
      <c r="M65" s="40"/>
      <c r="N65" s="40"/>
      <c r="O65" s="40"/>
      <c r="P65" s="40"/>
      <c r="Q65" s="40"/>
      <c r="R65" s="40"/>
    </row>
    <row r="66" spans="10:18" ht="15.75" customHeight="1">
      <c r="J66" s="40"/>
      <c r="K66" s="40"/>
      <c r="L66" s="40"/>
      <c r="M66" s="40"/>
      <c r="N66" s="40"/>
      <c r="O66" s="40"/>
      <c r="P66" s="40"/>
      <c r="Q66" s="40"/>
      <c r="R66" s="40"/>
    </row>
    <row r="67" spans="10:18" ht="15.75" customHeight="1">
      <c r="J67" s="40"/>
      <c r="K67" s="40"/>
      <c r="L67" s="40"/>
      <c r="M67" s="40"/>
      <c r="N67" s="40"/>
      <c r="O67" s="40"/>
      <c r="P67" s="40"/>
      <c r="Q67" s="40"/>
      <c r="R67" s="40"/>
    </row>
    <row r="68" spans="10:18" ht="15.75" customHeight="1">
      <c r="J68" s="40"/>
      <c r="K68" s="40"/>
      <c r="L68" s="40"/>
      <c r="M68" s="40"/>
      <c r="N68" s="40"/>
      <c r="O68" s="40"/>
      <c r="P68" s="40"/>
      <c r="Q68" s="40"/>
      <c r="R68" s="40"/>
    </row>
    <row r="69" spans="10:18" ht="15.75" customHeight="1">
      <c r="J69" s="40"/>
      <c r="K69" s="40"/>
      <c r="L69" s="40"/>
      <c r="M69" s="40"/>
      <c r="N69" s="40"/>
      <c r="O69" s="40"/>
      <c r="P69" s="40"/>
      <c r="Q69" s="40"/>
      <c r="R69" s="40"/>
    </row>
    <row r="70" spans="10:18" ht="15.75" customHeight="1">
      <c r="J70" s="40"/>
      <c r="K70" s="40"/>
      <c r="L70" s="40"/>
      <c r="M70" s="40"/>
      <c r="N70" s="40"/>
      <c r="O70" s="40"/>
      <c r="P70" s="40"/>
      <c r="Q70" s="40"/>
      <c r="R70" s="40"/>
    </row>
    <row r="71" spans="10:18" ht="15.75" customHeight="1">
      <c r="J71" s="40"/>
      <c r="K71" s="40"/>
      <c r="L71" s="40"/>
      <c r="M71" s="40"/>
      <c r="N71" s="40"/>
      <c r="O71" s="40"/>
      <c r="P71" s="40"/>
      <c r="Q71" s="40"/>
      <c r="R71" s="40"/>
    </row>
    <row r="72" spans="10:18" ht="15.75" customHeight="1">
      <c r="J72" s="40"/>
      <c r="K72" s="40"/>
      <c r="L72" s="40"/>
      <c r="M72" s="40"/>
      <c r="N72" s="40"/>
      <c r="O72" s="40"/>
      <c r="P72" s="40"/>
      <c r="Q72" s="40"/>
      <c r="R72" s="40"/>
    </row>
    <row r="73" spans="10:18" ht="15.75" customHeight="1">
      <c r="J73" s="40"/>
      <c r="K73" s="40"/>
      <c r="L73" s="40"/>
      <c r="M73" s="40"/>
      <c r="N73" s="40"/>
      <c r="O73" s="40"/>
      <c r="P73" s="40"/>
      <c r="Q73" s="40"/>
      <c r="R73" s="40"/>
    </row>
    <row r="74" spans="10:18" ht="15.75" customHeight="1">
      <c r="J74" s="40"/>
      <c r="K74" s="40"/>
      <c r="L74" s="40"/>
      <c r="M74" s="40"/>
      <c r="N74" s="40"/>
      <c r="O74" s="40"/>
      <c r="P74" s="40"/>
      <c r="Q74" s="40"/>
      <c r="R74" s="40"/>
    </row>
    <row r="75" spans="10:18" ht="15.75" customHeight="1">
      <c r="J75" s="40"/>
      <c r="K75" s="40"/>
      <c r="L75" s="40"/>
      <c r="M75" s="40"/>
      <c r="N75" s="40"/>
      <c r="O75" s="40"/>
      <c r="P75" s="40"/>
      <c r="Q75" s="40"/>
      <c r="R75" s="40"/>
    </row>
    <row r="76" spans="10:18" ht="15.75" customHeight="1">
      <c r="J76" s="40"/>
      <c r="K76" s="40"/>
      <c r="L76" s="40"/>
      <c r="M76" s="40"/>
      <c r="N76" s="40"/>
      <c r="O76" s="40"/>
      <c r="P76" s="40"/>
      <c r="Q76" s="40"/>
      <c r="R76" s="40"/>
    </row>
    <row r="77" spans="10:18" ht="15.75" customHeight="1">
      <c r="J77" s="40"/>
      <c r="K77" s="40"/>
      <c r="L77" s="40"/>
      <c r="M77" s="40"/>
      <c r="N77" s="40"/>
      <c r="O77" s="40"/>
      <c r="P77" s="40"/>
      <c r="Q77" s="40"/>
      <c r="R77" s="40"/>
    </row>
    <row r="78" spans="10:18" ht="15.75" customHeight="1">
      <c r="J78" s="40"/>
      <c r="K78" s="40"/>
      <c r="L78" s="40"/>
      <c r="M78" s="40"/>
      <c r="N78" s="40"/>
      <c r="O78" s="40"/>
      <c r="P78" s="40"/>
      <c r="Q78" s="40"/>
      <c r="R78" s="40"/>
    </row>
    <row r="79" spans="10:18" ht="15.75" customHeight="1">
      <c r="J79" s="40"/>
      <c r="K79" s="40"/>
      <c r="L79" s="40"/>
      <c r="M79" s="40"/>
      <c r="N79" s="40"/>
      <c r="O79" s="40"/>
      <c r="P79" s="40"/>
      <c r="Q79" s="40"/>
      <c r="R79" s="40"/>
    </row>
    <row r="80" spans="10:18" ht="15.75" customHeight="1">
      <c r="J80" s="40"/>
      <c r="K80" s="40"/>
      <c r="L80" s="40"/>
      <c r="M80" s="40"/>
      <c r="N80" s="40"/>
      <c r="O80" s="40"/>
      <c r="P80" s="40"/>
      <c r="Q80" s="40"/>
      <c r="R80" s="40"/>
    </row>
    <row r="81" spans="10:18" ht="15.75" customHeight="1">
      <c r="J81" s="40"/>
      <c r="K81" s="40"/>
      <c r="L81" s="40"/>
      <c r="M81" s="40"/>
      <c r="N81" s="40"/>
      <c r="O81" s="40"/>
      <c r="P81" s="40"/>
      <c r="Q81" s="40"/>
      <c r="R81" s="40"/>
    </row>
    <row r="82" spans="10:18" ht="15.75" customHeight="1">
      <c r="J82" s="40"/>
      <c r="K82" s="40"/>
      <c r="L82" s="40"/>
      <c r="M82" s="40"/>
      <c r="N82" s="40"/>
      <c r="O82" s="40"/>
      <c r="P82" s="40"/>
      <c r="Q82" s="40"/>
      <c r="R82" s="40"/>
    </row>
    <row r="83" spans="10:18" ht="15.75" customHeight="1">
      <c r="J83" s="40"/>
      <c r="K83" s="40"/>
      <c r="L83" s="40"/>
      <c r="M83" s="40"/>
      <c r="N83" s="40"/>
      <c r="O83" s="40"/>
      <c r="P83" s="40"/>
      <c r="Q83" s="40"/>
      <c r="R83" s="40"/>
    </row>
    <row r="84" spans="10:18" ht="15.75" customHeight="1">
      <c r="J84" s="40"/>
      <c r="K84" s="40"/>
      <c r="L84" s="40"/>
      <c r="M84" s="40"/>
      <c r="N84" s="40"/>
      <c r="O84" s="40"/>
      <c r="P84" s="40"/>
      <c r="Q84" s="40"/>
      <c r="R84" s="40"/>
    </row>
    <row r="85" spans="10:18" ht="15.75" customHeight="1">
      <c r="J85" s="40"/>
      <c r="K85" s="40"/>
      <c r="L85" s="40"/>
      <c r="M85" s="40"/>
      <c r="N85" s="40"/>
      <c r="O85" s="40"/>
      <c r="P85" s="40"/>
      <c r="Q85" s="40"/>
      <c r="R85" s="40"/>
    </row>
    <row r="86" spans="10:18" ht="15.75" customHeight="1">
      <c r="J86" s="40"/>
      <c r="K86" s="40"/>
      <c r="L86" s="40"/>
      <c r="M86" s="40"/>
      <c r="N86" s="40"/>
      <c r="O86" s="40"/>
      <c r="P86" s="40"/>
      <c r="Q86" s="40"/>
      <c r="R86" s="40"/>
    </row>
    <row r="87" spans="10:18" ht="15.75" customHeight="1">
      <c r="J87" s="40"/>
      <c r="K87" s="40"/>
      <c r="L87" s="40"/>
      <c r="M87" s="40"/>
      <c r="N87" s="40"/>
      <c r="O87" s="40"/>
      <c r="P87" s="40"/>
      <c r="Q87" s="40"/>
      <c r="R87" s="40"/>
    </row>
    <row r="88" spans="10:18" ht="15.75" customHeight="1">
      <c r="J88" s="40"/>
      <c r="K88" s="40"/>
      <c r="L88" s="40"/>
      <c r="M88" s="40"/>
      <c r="N88" s="40"/>
      <c r="O88" s="40"/>
      <c r="P88" s="40"/>
      <c r="Q88" s="40"/>
      <c r="R88" s="40"/>
    </row>
    <row r="89" spans="10:18" ht="15.75" customHeight="1">
      <c r="J89" s="40"/>
      <c r="K89" s="40"/>
      <c r="L89" s="40"/>
      <c r="M89" s="40"/>
      <c r="N89" s="40"/>
      <c r="O89" s="40"/>
      <c r="P89" s="40"/>
      <c r="Q89" s="40"/>
      <c r="R89" s="40"/>
    </row>
    <row r="90" spans="10:18" ht="15.75" customHeight="1">
      <c r="J90" s="40"/>
      <c r="K90" s="40"/>
      <c r="L90" s="40"/>
      <c r="M90" s="40"/>
      <c r="N90" s="40"/>
      <c r="O90" s="40"/>
      <c r="P90" s="40"/>
      <c r="Q90" s="40"/>
      <c r="R90" s="40"/>
    </row>
    <row r="91" spans="10:18" ht="15.75" customHeight="1">
      <c r="J91" s="40"/>
      <c r="K91" s="40"/>
      <c r="L91" s="40"/>
      <c r="M91" s="40"/>
      <c r="N91" s="40"/>
      <c r="O91" s="40"/>
      <c r="P91" s="40"/>
      <c r="Q91" s="40"/>
      <c r="R91" s="40"/>
    </row>
    <row r="92" spans="10:18" ht="15.75" customHeight="1">
      <c r="J92" s="40"/>
      <c r="K92" s="40"/>
      <c r="L92" s="40"/>
      <c r="M92" s="40"/>
      <c r="N92" s="40"/>
      <c r="O92" s="40"/>
      <c r="P92" s="40"/>
      <c r="Q92" s="40"/>
      <c r="R92" s="40"/>
    </row>
    <row r="93" spans="10:18" ht="15.75" customHeight="1">
      <c r="J93" s="40"/>
      <c r="K93" s="40"/>
      <c r="L93" s="40"/>
      <c r="M93" s="40"/>
      <c r="N93" s="40"/>
      <c r="O93" s="40"/>
      <c r="P93" s="40"/>
      <c r="Q93" s="40"/>
      <c r="R93" s="40"/>
    </row>
    <row r="94" spans="10:18" ht="15.75" customHeight="1">
      <c r="J94" s="40"/>
      <c r="K94" s="40"/>
      <c r="L94" s="40"/>
      <c r="M94" s="40"/>
      <c r="N94" s="40"/>
      <c r="O94" s="40"/>
      <c r="P94" s="40"/>
      <c r="Q94" s="40"/>
      <c r="R94" s="40"/>
    </row>
    <row r="95" spans="10:18" ht="15.75" customHeight="1">
      <c r="J95" s="40"/>
      <c r="K95" s="40"/>
      <c r="L95" s="40"/>
      <c r="M95" s="40"/>
      <c r="N95" s="40"/>
      <c r="O95" s="40"/>
      <c r="P95" s="40"/>
      <c r="Q95" s="40"/>
      <c r="R95" s="40"/>
    </row>
    <row r="96" spans="10:18" ht="15.75" customHeight="1">
      <c r="J96" s="40"/>
      <c r="K96" s="40"/>
      <c r="L96" s="40"/>
      <c r="M96" s="40"/>
      <c r="N96" s="40"/>
      <c r="O96" s="40"/>
      <c r="P96" s="40"/>
      <c r="Q96" s="40"/>
      <c r="R96" s="40"/>
    </row>
    <row r="97" spans="10:18" ht="15.75" customHeight="1">
      <c r="J97" s="40"/>
      <c r="K97" s="40"/>
      <c r="L97" s="40"/>
      <c r="M97" s="40"/>
      <c r="N97" s="40"/>
      <c r="O97" s="40"/>
      <c r="P97" s="40"/>
      <c r="Q97" s="40"/>
      <c r="R97" s="40"/>
    </row>
    <row r="98" spans="10:18" ht="15.75" customHeight="1">
      <c r="J98" s="40"/>
      <c r="K98" s="40"/>
      <c r="L98" s="40"/>
      <c r="M98" s="40"/>
      <c r="N98" s="40"/>
      <c r="O98" s="40"/>
      <c r="P98" s="40"/>
      <c r="Q98" s="40"/>
      <c r="R98" s="40"/>
    </row>
    <row r="99" spans="10:18" ht="15.75" customHeight="1">
      <c r="J99" s="40"/>
      <c r="K99" s="40"/>
      <c r="L99" s="40"/>
      <c r="M99" s="40"/>
      <c r="N99" s="40"/>
      <c r="O99" s="40"/>
      <c r="P99" s="40"/>
      <c r="Q99" s="40"/>
      <c r="R99" s="40"/>
    </row>
    <row r="100" spans="10:18" ht="15.75" customHeight="1"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10:18" ht="15.75" customHeight="1">
      <c r="J101" s="40"/>
      <c r="K101" s="40"/>
      <c r="L101" s="40"/>
      <c r="M101" s="40"/>
      <c r="N101" s="40"/>
      <c r="O101" s="40"/>
      <c r="P101" s="40"/>
      <c r="Q101" s="40"/>
      <c r="R101" s="40"/>
    </row>
    <row r="102" spans="10:18" ht="15.75" customHeight="1"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10:18" ht="15.75" customHeight="1"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10:18" ht="15.75" customHeight="1">
      <c r="J104" s="40"/>
      <c r="K104" s="40"/>
      <c r="L104" s="40"/>
      <c r="M104" s="40"/>
      <c r="N104" s="40"/>
      <c r="O104" s="40"/>
      <c r="P104" s="40"/>
      <c r="Q104" s="40"/>
      <c r="R104" s="40"/>
    </row>
    <row r="105" spans="10:18" ht="15.75" customHeight="1"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10:18" ht="15.75" customHeight="1">
      <c r="J106" s="40"/>
      <c r="K106" s="40"/>
      <c r="L106" s="40"/>
      <c r="M106" s="40"/>
      <c r="N106" s="40"/>
      <c r="O106" s="40"/>
      <c r="P106" s="40"/>
      <c r="Q106" s="40"/>
      <c r="R106" s="40"/>
    </row>
    <row r="107" spans="10:18" ht="15.75" customHeight="1"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10:18" ht="15.75" customHeight="1">
      <c r="J108" s="40"/>
      <c r="K108" s="40"/>
      <c r="L108" s="40"/>
      <c r="M108" s="40"/>
      <c r="N108" s="40"/>
      <c r="O108" s="40"/>
      <c r="P108" s="40"/>
      <c r="Q108" s="40"/>
      <c r="R108" s="40"/>
    </row>
    <row r="109" spans="10:18" ht="15.75" customHeight="1">
      <c r="J109" s="40"/>
      <c r="K109" s="40"/>
      <c r="L109" s="40"/>
      <c r="M109" s="40"/>
      <c r="N109" s="40"/>
      <c r="O109" s="40"/>
      <c r="P109" s="40"/>
      <c r="Q109" s="40"/>
      <c r="R109" s="40"/>
    </row>
    <row r="110" spans="10:18" ht="15.75" customHeight="1"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10:18" ht="15.75" customHeight="1"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10:18" ht="15.75" customHeight="1"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0:18" ht="15.75" customHeight="1"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10:18" ht="15.75" customHeight="1"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0:18" ht="15.75" customHeight="1"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10:18" ht="15.75" customHeight="1"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10:18" ht="15.75" customHeight="1"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10:18" ht="15.75" customHeight="1"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10:18" ht="15.75" customHeight="1"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10:18" ht="15.75" customHeight="1"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10:18" ht="15.75" customHeight="1"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10:18" ht="15.75" customHeight="1"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10:18" ht="15.75" customHeight="1"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10:18" ht="15.75" customHeight="1"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10:18" ht="15.75" customHeight="1"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10:18" ht="15.75" customHeight="1"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10:18" ht="15.75" customHeight="1"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10:18" ht="15.75" customHeight="1"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10:18" ht="15.75" customHeight="1"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10:18" ht="15.75" customHeight="1"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10:18" ht="15.75" customHeight="1"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10:18" ht="15.75" customHeight="1"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10:18" ht="15.75" customHeight="1"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10:18" ht="15.75" customHeight="1"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10:18" ht="15.75" customHeight="1"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10:18" ht="15.75" customHeight="1"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10:18" ht="15.75" customHeight="1"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10:18" ht="15.75" customHeight="1"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10:18" ht="15.75" customHeight="1"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10:18" ht="15.75" customHeight="1"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10:18" ht="15.75" customHeight="1"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10:18" ht="15.75" customHeight="1"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10:18" ht="15.75" customHeight="1"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10:18" ht="15.75" customHeight="1"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10:18" ht="15.75" customHeight="1"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0:18" ht="15.75" customHeight="1"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10:18" ht="15.75" customHeight="1"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10:18" ht="15.75" customHeight="1"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10:18" ht="15.75" customHeight="1"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10:18" ht="15.75" customHeight="1"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10:18" ht="15.75" customHeight="1"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10:18" ht="15.75" customHeight="1"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10:18" ht="15.75" customHeight="1"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10:18" ht="15.75" customHeight="1"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10:18" ht="15.75" customHeight="1"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0:18" ht="15.75" customHeight="1"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0:18" ht="15.75" customHeight="1"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0:18" ht="15.75" customHeight="1"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0:18" ht="15.75" customHeight="1"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0:18" ht="15.75" customHeight="1"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0:18" ht="15.75" customHeight="1"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0:18" ht="15.75" customHeight="1"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0:18" ht="15.75" customHeight="1"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0:18" ht="15.75" customHeight="1"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0:18" ht="15.75" customHeight="1"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0:18" ht="15.75" customHeight="1"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0:18" ht="15.75" customHeight="1"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0:18" ht="15.75" customHeight="1"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0:18" ht="15.75" customHeight="1"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0:18" ht="15.75" customHeight="1"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0:18" ht="15.75" customHeight="1"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0:18" ht="15.75" customHeight="1"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0:18" ht="15.75" customHeight="1"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0:18" ht="15.75" customHeight="1"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0:18" ht="15.75" customHeight="1"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0:18" ht="15.75" customHeight="1"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0:18" ht="15.75" customHeight="1"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0:18" ht="15.75" customHeight="1"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0:18" ht="15.75" customHeight="1"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0:18" ht="15.75" customHeight="1"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0:18" ht="15.75" customHeight="1"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0:18" ht="15.75" customHeight="1"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0:18" ht="15.75" customHeight="1"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0:18" ht="15.75" customHeight="1"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0:18" ht="15.75" customHeight="1"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0:18" ht="15.75" customHeight="1"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0:18" ht="15.75" customHeight="1"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0:18" ht="15.75" customHeight="1"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0:18" ht="15.75" customHeight="1"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0:18" ht="15.75" customHeight="1"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0:18" ht="15.75" customHeight="1"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0:18" ht="15.75" customHeight="1"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0:18" ht="15.75" customHeight="1"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0:18" ht="15.75" customHeight="1"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0:18" ht="15.75" customHeight="1"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0:18" ht="15.75" customHeight="1"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0:18" ht="15.75" customHeight="1"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0:18" ht="15.75" customHeight="1"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0:18" ht="15.75" customHeight="1"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0:18" ht="15.75" customHeight="1"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0:18" ht="15.75" customHeight="1"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0:18" ht="15.75" customHeight="1"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0:18" ht="15.75" customHeight="1"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0:18" ht="15.75" customHeight="1"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0:18" ht="15.75" customHeight="1"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0:18" ht="15.75" customHeight="1"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0:18" ht="15.75" customHeight="1"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0:18" ht="15.75" customHeight="1"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0:18" ht="15.75" customHeight="1"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0:18" ht="15.75" customHeight="1"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0:18" ht="15.75" customHeight="1"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0:18" ht="15.75" customHeight="1"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0:18" ht="15.75" customHeight="1"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0:18" ht="15.75" customHeight="1"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0:18" ht="15.75" customHeight="1"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0:18" ht="15.75" customHeight="1"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0:18" ht="15.75" customHeight="1"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0:18" ht="15.75" customHeight="1"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0:18" ht="15.75" customHeight="1"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0:18" ht="15.75" customHeight="1"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0:18" ht="15.75" customHeight="1"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0:18" ht="15.75" customHeight="1"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0:18" ht="15.75" customHeight="1"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0:18" ht="15.75" customHeight="1"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0:18" ht="15.75" customHeight="1"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0:18" ht="15.75" customHeight="1"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0:18" ht="15.75" customHeight="1"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0:18" ht="15.75" customHeight="1"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0:18" ht="15.75" customHeight="1"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0:18" ht="15.75" customHeight="1"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0:18" ht="15.75" customHeight="1"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0:18" ht="15.75" customHeight="1"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0:18" ht="15.75" customHeight="1"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0:18" ht="15.75" customHeight="1"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0:18" ht="15.75" customHeight="1"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0:18" ht="15.75" customHeight="1"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0:18" ht="15.75" customHeight="1"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0:18" ht="15.75" customHeight="1"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0:18" ht="15.75" customHeight="1"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0:18" ht="15.75" customHeight="1"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0:18" ht="15.75" customHeight="1"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0:18" ht="15.75" customHeight="1"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0:18" ht="15.75" customHeight="1"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0:18" ht="15.75" customHeight="1"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0:18" ht="15.75" customHeight="1"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0:18" ht="15.75" customHeight="1"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0:18" ht="15.75" customHeight="1"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0:18" ht="15.75" customHeight="1"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0:18" ht="15.75" customHeight="1"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0:18" ht="15.75" customHeight="1"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0:18" ht="15.75" customHeight="1"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0:18" ht="15.75" customHeight="1"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0:18" ht="15.75" customHeight="1"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0:18" ht="15.75" customHeight="1"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0:18" ht="15.75" customHeight="1"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0:18" ht="15.75" customHeight="1"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0:18" ht="15.75" customHeight="1"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0:18" ht="15.75" customHeight="1"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0:18" ht="15.75" customHeight="1"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0:18" ht="15.75" customHeight="1"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0:18" ht="15.75" customHeight="1"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0:18" ht="15.75" customHeight="1"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0:18" ht="15.75" customHeight="1"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0:18" ht="15.75" customHeight="1"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0:18" ht="15.75" customHeight="1"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0:18" ht="15.75" customHeight="1"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0:18" ht="15.75" customHeight="1"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0:18" ht="15.75" customHeight="1"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0:18" ht="15.75" customHeight="1"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0:18" ht="15.75" customHeight="1"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0:18" ht="15.75" customHeight="1"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0:18" ht="15.75" customHeight="1"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0:18" ht="15.75" customHeight="1"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0:18" ht="15.75" customHeight="1"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0:18" ht="15.75" customHeight="1"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0:18" ht="15.75" customHeight="1"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0:18" ht="15.75" customHeight="1"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0:18" ht="15.75" customHeight="1"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0:18" ht="15.75" customHeight="1"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0:18" ht="15.75" customHeight="1"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0:18" ht="15.75" customHeight="1"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0:18" ht="15.75" customHeight="1"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0:18" ht="15.75" customHeight="1"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0:18" ht="15.75" customHeight="1"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0:18" ht="15.75" customHeight="1"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0:18" ht="15.75" customHeight="1"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0:18" ht="15.75" customHeight="1"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0:18" ht="15.75" customHeight="1"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0:18" ht="15.75" customHeight="1"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0:18" ht="15.75" customHeight="1"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0:18" ht="15.75" customHeight="1"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0:18" ht="15.75" customHeight="1"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0:18" ht="15.75" customHeight="1"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0:18" ht="15.75" customHeight="1"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0:18" ht="15.75" customHeight="1"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0:18" ht="15.75" customHeight="1"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0:18" ht="15.75" customHeight="1"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0:18" ht="15.75" customHeight="1"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0:18" ht="15.75" customHeight="1"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0:18" ht="15.75" customHeight="1"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0:18" ht="15.75" customHeight="1"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0:18" ht="15.75" customHeight="1"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0:18" ht="15.75" customHeight="1"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0:18" ht="15.75" customHeight="1"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0:18" ht="15.75" customHeight="1"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0:18" ht="15.75" customHeight="1"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0:18" ht="15.75" customHeight="1"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0:18" ht="15.75" customHeight="1"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0:18" ht="15.75" customHeight="1"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0:18" ht="15.75" customHeight="1"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0:18" ht="15.75" customHeight="1"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0:18" ht="15.75" customHeight="1"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0:18" ht="15.75" customHeight="1"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0:18" ht="15.75" customHeight="1"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0:18" ht="15.75" customHeight="1"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0:18" ht="15.75" customHeight="1"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0:18" ht="15.75" customHeight="1"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0:18" ht="15.75" customHeight="1"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0:18" ht="15.75" customHeight="1"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0:18" ht="15.75" customHeight="1"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0:18" ht="15.75" customHeight="1"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0:18" ht="15.75" customHeight="1"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0:18" ht="15.75" customHeight="1"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0:18" ht="15.75" customHeight="1"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0:18" ht="15.75" customHeight="1"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0:18" ht="15.75" customHeight="1"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0:18" ht="15.75" customHeight="1"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0:18" ht="15.75" customHeight="1"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0:18" ht="15.75" customHeight="1"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0:18" ht="15.75" customHeight="1"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0:18" ht="15.75" customHeight="1"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0:18" ht="15.75" customHeight="1"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0:18" ht="15.75" customHeight="1"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0:18" ht="15.75" customHeight="1"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0:18" ht="15.75" customHeight="1"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0:18" ht="15.75" customHeight="1"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0:18" ht="15.75" customHeight="1"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0:18" ht="15.75" customHeight="1"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0:18" ht="15.75" customHeight="1"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0:18" ht="15.75" customHeight="1"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0:18" ht="15.75" customHeight="1"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0:18" ht="15.75" customHeight="1"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0:18" ht="15.75" customHeight="1"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0:18" ht="15.75" customHeight="1"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0:18" ht="15.75" customHeight="1"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0:18" ht="15.75" customHeight="1"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0:18" ht="15.75" customHeight="1"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0:18" ht="15.75" customHeight="1"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0:18" ht="15.75" customHeight="1"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0:18" ht="15.75" customHeight="1"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0:18" ht="15.75" customHeight="1"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0:18" ht="15.75" customHeight="1"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0:18" ht="15.75" customHeight="1"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0:18" ht="15.75" customHeight="1"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0:18" ht="15.75" customHeight="1"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0:18" ht="15.75" customHeight="1"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0:18" ht="15.75" customHeight="1"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0:18" ht="15.75" customHeight="1"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0:18" ht="15.75" customHeight="1"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0:18" ht="15.75" customHeight="1"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0:18" ht="15.75" customHeight="1"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0:18" ht="15.75" customHeight="1"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0:18" ht="15.75" customHeight="1"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0:18" ht="15.75" customHeight="1"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0:18" ht="15.75" customHeight="1"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0:18" ht="15.75" customHeight="1"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0:18" ht="15.75" customHeight="1"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0:18" ht="15.75" customHeight="1"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0:18" ht="15.75" customHeight="1"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0:18" ht="15.75" customHeight="1"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0:18" ht="15.75" customHeight="1"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0:18" ht="15.75" customHeight="1"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0:18" ht="15.75" customHeight="1"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0:18" ht="15.75" customHeight="1"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0:18" ht="15.75" customHeight="1"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0:18" ht="15.75" customHeight="1"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0:18" ht="15.75" customHeight="1"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0:18" ht="15.75" customHeight="1"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0:18" ht="15.75" customHeight="1"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0:18" ht="15.75" customHeight="1"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0:18" ht="15.75" customHeight="1"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0:18" ht="15.75" customHeight="1"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0:18" ht="15.75" customHeight="1"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0:18" ht="15.75" customHeight="1"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0:18" ht="15.75" customHeight="1"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0:18" ht="15.75" customHeight="1"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0:18" ht="15.75" customHeight="1"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0:18" ht="15.75" customHeight="1"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0:18" ht="15.75" customHeight="1"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0:18" ht="15.75" customHeight="1"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0:18" ht="15.75" customHeight="1"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0:18" ht="15.75" customHeight="1"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0:18" ht="15.75" customHeight="1"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0:18" ht="15.75" customHeight="1"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0:18" ht="15.75" customHeight="1"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0:18" ht="15.75" customHeight="1"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0:18" ht="15.75" customHeight="1"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0:18" ht="15.75" customHeight="1"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0:18" ht="15.75" customHeight="1"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0:18" ht="15.75" customHeight="1"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0:18" ht="15.75" customHeight="1"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0:18" ht="15.75" customHeight="1"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0:18" ht="15.75" customHeight="1"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0:18" ht="15.75" customHeight="1"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0:18" ht="15.75" customHeight="1"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0:18" ht="15.75" customHeight="1"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0:18" ht="15.75" customHeight="1"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0:18" ht="15.75" customHeight="1"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0:18" ht="15.75" customHeight="1"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0:18" ht="15.75" customHeight="1"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0:18" ht="15.75" customHeight="1"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0:18" ht="15.75" customHeight="1"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0:18" ht="15.75" customHeight="1"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0:18" ht="15.75" customHeight="1"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0:18" ht="15.75" customHeight="1"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0:18" ht="15.75" customHeight="1"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0:18" ht="15.75" customHeight="1"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0:18" ht="15.75" customHeight="1"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0:18" ht="15.75" customHeight="1"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0:18" ht="15.75" customHeight="1"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0:18" ht="15.75" customHeight="1"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0:18" ht="15.75" customHeight="1"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0:18" ht="15.75" customHeight="1"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0:18" ht="15.75" customHeight="1"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0:18" ht="15.75" customHeight="1"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0:18" ht="15.75" customHeight="1"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0:18" ht="15.75" customHeight="1"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0:18" ht="15.75" customHeight="1"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0:18" ht="15.75" customHeight="1"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0:18" ht="15.75" customHeight="1"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0:18" ht="15.75" customHeight="1"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0:18" ht="15.75" customHeight="1"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0:18" ht="15.75" customHeight="1"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0:18" ht="15.75" customHeight="1"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0:18" ht="15.75" customHeight="1"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0:18" ht="15.75" customHeight="1"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0:18" ht="15.75" customHeight="1"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0:18" ht="15.75" customHeight="1"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0:18" ht="15.75" customHeight="1"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0:18" ht="15.75" customHeight="1"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0:18" ht="15.75" customHeight="1"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0:18" ht="15.75" customHeight="1"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0:18" ht="15.75" customHeight="1"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0:18" ht="15.75" customHeight="1"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0:18" ht="15.75" customHeight="1"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0:18" ht="15.75" customHeight="1"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0:18" ht="15.75" customHeight="1"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0:18" ht="15.75" customHeight="1"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0:18" ht="15.75" customHeight="1"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0:18" ht="15.75" customHeight="1"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0:18" ht="15.75" customHeight="1"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0:18" ht="15.75" customHeight="1"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0:18" ht="15.75" customHeight="1"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0:18" ht="15.75" customHeight="1"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0:18" ht="15.75" customHeight="1"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0:18" ht="15.75" customHeight="1"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0:18" ht="15.75" customHeight="1"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0:18" ht="15.75" customHeight="1"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0:18" ht="15.75" customHeight="1"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0:18" ht="15.75" customHeight="1"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0:18" ht="15.75" customHeight="1"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0:18" ht="15.75" customHeight="1"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0:18" ht="15.75" customHeight="1"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0:18" ht="15.75" customHeight="1"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0:18" ht="15.75" customHeight="1"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0:18" ht="15.75" customHeight="1"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0:18" ht="15.75" customHeight="1"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0:18" ht="15.75" customHeight="1"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0:18" ht="15.75" customHeight="1"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0:18" ht="15.75" customHeight="1"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0:18" ht="15.75" customHeight="1"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0:18" ht="15.75" customHeight="1"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0:18" ht="15.75" customHeight="1"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0:18" ht="15.75" customHeight="1"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0:18" ht="15.75" customHeight="1"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0:18" ht="15.75" customHeight="1"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0:18" ht="15.75" customHeight="1"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0:18" ht="15.75" customHeight="1"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0:18" ht="15.75" customHeight="1"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0:18" ht="15.75" customHeight="1"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0:18" ht="15.75" customHeight="1"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0:18" ht="15.75" customHeight="1"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0:18" ht="15.75" customHeight="1"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0:18" ht="15.75" customHeight="1"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0:18" ht="15.75" customHeight="1"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0:18" ht="15.75" customHeight="1"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0:18" ht="15.75" customHeight="1"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0:18" ht="15.75" customHeight="1"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0:18" ht="15.75" customHeight="1"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0:18" ht="15.75" customHeight="1"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0:18" ht="15.75" customHeight="1"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0:18" ht="15.75" customHeight="1"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0:18" ht="15.75" customHeight="1"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0:18" ht="15.75" customHeight="1"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0:18" ht="15.75" customHeight="1"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0:18" ht="15.75" customHeight="1"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0:18" ht="15.75" customHeight="1"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0:18" ht="15.75" customHeight="1"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0:18" ht="15.75" customHeight="1"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0:18" ht="15.75" customHeight="1"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0:18" ht="15.75" customHeight="1"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0:18" ht="15.75" customHeight="1"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0:18" ht="15.75" customHeight="1"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0:18" ht="15.75" customHeight="1"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0:18" ht="15.75" customHeight="1"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0:18" ht="15.75" customHeight="1"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0:18" ht="15.75" customHeight="1"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0:18" ht="15.75" customHeight="1"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0:18" ht="15.75" customHeight="1"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0:18" ht="15.75" customHeight="1"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0:18" ht="15.75" customHeight="1"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0:18" ht="15.75" customHeight="1"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0:18" ht="15.75" customHeight="1"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0:18" ht="15.75" customHeight="1"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0:18" ht="15.75" customHeight="1"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0:18" ht="15.75" customHeight="1"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0:18" ht="15.75" customHeight="1"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0:18" ht="15.75" customHeight="1"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0:18" ht="15.75" customHeight="1"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0:18" ht="15.75" customHeight="1"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0:18" ht="15.75" customHeight="1"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0:18" ht="15.75" customHeight="1"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0:18" ht="15.75" customHeight="1"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0:18" ht="15.75" customHeight="1"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0:18" ht="15.75" customHeight="1"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0:18" ht="15.75" customHeight="1"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0:18" ht="15.75" customHeight="1"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0:18" ht="15.75" customHeight="1"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0:18" ht="15.75" customHeight="1"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0:18" ht="15.75" customHeight="1"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0:18" ht="15.75" customHeight="1"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0:18" ht="15.75" customHeight="1"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0:18" ht="15.75" customHeight="1"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0:18" ht="15.75" customHeight="1"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0:18" ht="15.75" customHeight="1"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0:18" ht="15.75" customHeight="1"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0:18" ht="15.75" customHeight="1"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0:18" ht="15.75" customHeight="1"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0:18" ht="15.75" customHeight="1"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0:18" ht="15.75" customHeight="1"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0:18" ht="15.75" customHeight="1"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0:18" ht="15.75" customHeight="1"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0:18" ht="15.75" customHeight="1"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0:18" ht="15.75" customHeight="1"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0:18" ht="15.75" customHeight="1"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0:18" ht="15.75" customHeight="1"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0:18" ht="15.75" customHeight="1"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0:18" ht="15.75" customHeight="1"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0:18" ht="15.75" customHeight="1"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0:18" ht="15.75" customHeight="1"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0:18" ht="15.75" customHeight="1"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0:18" ht="15.75" customHeight="1"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0:18" ht="15.75" customHeight="1"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0:18" ht="15.75" customHeight="1"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0:18" ht="15.75" customHeight="1"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0:18" ht="15.75" customHeight="1"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0:18" ht="15.75" customHeight="1"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0:18" ht="15.75" customHeight="1"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0:18" ht="15.75" customHeight="1"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0:18" ht="15.75" customHeight="1"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0:18" ht="15.75" customHeight="1"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0:18" ht="15.75" customHeight="1"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0:18" ht="15.75" customHeight="1"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0:18" ht="15.75" customHeight="1"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0:18" ht="15.75" customHeight="1"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0:18" ht="15.75" customHeight="1"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0:18" ht="15.75" customHeight="1"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0:18" ht="15.75" customHeight="1"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0:18" ht="15.75" customHeight="1"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0:18" ht="15.75" customHeight="1"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0:18" ht="15.75" customHeight="1"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0:18" ht="15.75" customHeight="1"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0:18" ht="15.75" customHeight="1"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0:18" ht="15.75" customHeight="1"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0:18" ht="15.75" customHeight="1"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0:18" ht="15.75" customHeight="1"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0:18" ht="15.75" customHeight="1"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0:18" ht="15.75" customHeight="1"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0:18" ht="15.75" customHeight="1"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0:18" ht="15.75" customHeight="1"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0:18" ht="15.75" customHeight="1"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0:18" ht="15.75" customHeight="1"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0:18" ht="15.75" customHeight="1"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0:18" ht="15.75" customHeight="1"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0:18" ht="15.75" customHeight="1"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0:18" ht="15.75" customHeight="1"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0:18" ht="15.75" customHeight="1"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0:18" ht="15.75" customHeight="1"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0:18" ht="15.75" customHeight="1"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0:18" ht="15.75" customHeight="1"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0:18" ht="15.75" customHeight="1"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0:18" ht="15.75" customHeight="1"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0:18" ht="15.75" customHeight="1"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0:18" ht="15.75" customHeight="1"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0:18" ht="15.75" customHeight="1"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0:18" ht="15.75" customHeight="1"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0:18" ht="15.75" customHeight="1"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0:18" ht="15.75" customHeight="1"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0:18" ht="15.75" customHeight="1"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0:18" ht="15.75" customHeight="1"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0:18" ht="15.75" customHeight="1"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0:18" ht="15.75" customHeight="1"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0:18" ht="15.75" customHeight="1"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0:18" ht="15.75" customHeight="1"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0:18" ht="15.75" customHeight="1"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0:18" ht="15.75" customHeight="1"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0:18" ht="15.75" customHeight="1"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0:18" ht="15.75" customHeight="1"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0:18" ht="15.75" customHeight="1"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0:18" ht="15.75" customHeight="1"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0:18" ht="15.75" customHeight="1"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0:18" ht="15.75" customHeight="1"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0:18" ht="15.75" customHeight="1"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0:18" ht="15.75" customHeight="1"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0:18" ht="15.75" customHeight="1"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0:18" ht="15.75" customHeight="1"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0:18" ht="15.75" customHeight="1"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0:18" ht="15.75" customHeight="1"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0:18" ht="15.75" customHeight="1"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0:18" ht="15.75" customHeight="1"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0:18" ht="15.75" customHeight="1"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0:18" ht="15.75" customHeight="1"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0:18" ht="15.75" customHeight="1"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0:18" ht="15.75" customHeight="1"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0:18" ht="15.75" customHeight="1"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0:18" ht="15.75" customHeight="1"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0:18" ht="15.75" customHeight="1"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0:18" ht="15.75" customHeight="1"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0:18" ht="15.75" customHeight="1"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0:18" ht="15.75" customHeight="1"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0:18" ht="15.75" customHeight="1"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0:18" ht="15.75" customHeight="1"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0:18" ht="15.75" customHeight="1"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0:18" ht="15.75" customHeight="1"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0:18" ht="15.75" customHeight="1"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0:18" ht="15.75" customHeight="1"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0:18" ht="15.75" customHeight="1"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0:18" ht="15.75" customHeight="1"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0:18" ht="15.75" customHeight="1"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0:18" ht="15.75" customHeight="1"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0:18" ht="15.75" customHeight="1"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0:18" ht="15.75" customHeight="1"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0:18" ht="15.75" customHeight="1"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0:18" ht="15.75" customHeight="1"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0:18" ht="15.75" customHeight="1"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0:18" ht="15.75" customHeight="1"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0:18" ht="15.75" customHeight="1"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0:18" ht="15.75" customHeight="1"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0:18" ht="15.75" customHeight="1"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0:18" ht="15.75" customHeight="1"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0:18" ht="15.75" customHeight="1"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0:18" ht="15.75" customHeight="1"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0:18" ht="15.75" customHeight="1"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0:18" ht="15.75" customHeight="1"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0:18" ht="15.75" customHeight="1"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0:18" ht="15.75" customHeight="1"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0:18" ht="15.75" customHeight="1"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0:18" ht="15.75" customHeight="1"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0:18" ht="15.75" customHeight="1"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0:18" ht="15.75" customHeight="1"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0:18" ht="15.75" customHeight="1"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0:18" ht="15.75" customHeight="1"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0:18" ht="15.75" customHeight="1"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0:18" ht="15.75" customHeight="1"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0:18" ht="15.75" customHeight="1"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0:18" ht="15.75" customHeight="1"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0:18" ht="15.75" customHeight="1"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0:18" ht="15.75" customHeight="1"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0:18" ht="15.75" customHeight="1"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0:18" ht="15.75" customHeight="1"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0:18" ht="15.75" customHeight="1"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0:18" ht="15.75" customHeight="1"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0:18" ht="15.75" customHeight="1"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0:18" ht="15.75" customHeight="1"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0:18" ht="15.75" customHeight="1"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0:18" ht="15.75" customHeight="1"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0:18" ht="15.75" customHeight="1"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0:18" ht="15.75" customHeight="1"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0:18" ht="15.75" customHeight="1"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0:18" ht="15.75" customHeight="1"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0:18" ht="15.75" customHeight="1"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0:18" ht="15.75" customHeight="1"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0:18" ht="15.75" customHeight="1"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0:18" ht="15.75" customHeight="1"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0:18" ht="15.75" customHeight="1"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0:18" ht="15.75" customHeight="1"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0:18" ht="15.75" customHeight="1"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0:18" ht="15.75" customHeight="1"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0:18" ht="15.75" customHeight="1"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0:18" ht="15.75" customHeight="1"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0:18" ht="15.75" customHeight="1"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0:18" ht="15.75" customHeight="1"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0:18" ht="15.75" customHeight="1"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0:18" ht="15.75" customHeight="1"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0:18" ht="15.75" customHeight="1"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0:18" ht="15.75" customHeight="1"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0:18" ht="15.75" customHeight="1"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0:18" ht="15.75" customHeight="1"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0:18" ht="15.75" customHeight="1"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0:18" ht="15.75" customHeight="1"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0:18" ht="15.75" customHeight="1"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0:18" ht="15.75" customHeight="1"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0:18" ht="15.75" customHeight="1"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0:18" ht="15.75" customHeight="1"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0:18" ht="15.75" customHeight="1"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0:18" ht="15.75" customHeight="1"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0:18" ht="15.75" customHeight="1"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0:18" ht="15.75" customHeight="1"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0:18" ht="15.75" customHeight="1"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0:18" ht="15.75" customHeight="1"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0:18" ht="15.75" customHeight="1"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0:18" ht="15.75" customHeight="1"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0:18" ht="15.75" customHeight="1"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0:18" ht="15.75" customHeight="1"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0:18" ht="15.75" customHeight="1"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0:18" ht="15.75" customHeight="1"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0:18" ht="15.75" customHeight="1"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0:18" ht="15.75" customHeight="1"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0:18" ht="15.75" customHeight="1"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0:18" ht="15.75" customHeight="1"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0:18" ht="15.75" customHeight="1"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0:18" ht="15.75" customHeight="1"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0:18" ht="15.75" customHeight="1"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0:18" ht="15.75" customHeight="1"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0:18" ht="15.75" customHeight="1"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0:18" ht="15.75" customHeight="1"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0:18" ht="15.75" customHeight="1"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0:18" ht="15.75" customHeight="1"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0:18" ht="15.75" customHeight="1"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0:18" ht="15.75" customHeight="1"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0:18" ht="15.75" customHeight="1"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0:18" ht="15.75" customHeight="1"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0:18" ht="15.75" customHeight="1"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0:18" ht="15.75" customHeight="1"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0:18" ht="15.75" customHeight="1"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0:18" ht="15.75" customHeight="1"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0:18" ht="15.75" customHeight="1"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0:18" ht="15.75" customHeight="1"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0:18" ht="15.75" customHeight="1"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0:18" ht="15.75" customHeight="1"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0:18" ht="15.75" customHeight="1"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0:18" ht="15.75" customHeight="1"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0:18" ht="15.75" customHeight="1"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0:18" ht="15.75" customHeight="1"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0:18" ht="15.75" customHeight="1"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0:18" ht="15.75" customHeight="1"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0:18" ht="15.75" customHeight="1"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0:18" ht="15.75" customHeight="1"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0:18" ht="15.75" customHeight="1"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0:18" ht="15.75" customHeight="1"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0:18" ht="15.75" customHeight="1"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0:18" ht="15.75" customHeight="1"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0:18" ht="15.75" customHeight="1"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0:18" ht="15.75" customHeight="1"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0:18" ht="15.75" customHeight="1"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0:18" ht="15.75" customHeight="1"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0:18" ht="15.75" customHeight="1"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0:18" ht="15.75" customHeight="1"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0:18" ht="15.75" customHeight="1"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0:18" ht="15.75" customHeight="1"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0:18" ht="15.75" customHeight="1"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0:18" ht="15.75" customHeight="1"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0:18" ht="15.75" customHeight="1"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0:18" ht="15.75" customHeight="1"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0:18" ht="15.75" customHeight="1"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0:18" ht="15.75" customHeight="1"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0:18" ht="15.75" customHeight="1"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0:18" ht="15.75" customHeight="1"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0:18" ht="15.75" customHeight="1"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0:18" ht="15.75" customHeight="1"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0:18" ht="15.75" customHeight="1"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0:18" ht="15.75" customHeight="1"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0:18" ht="15.75" customHeight="1"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0:18" ht="15.75" customHeight="1"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0:18" ht="15.75" customHeight="1"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0:18" ht="15.75" customHeight="1"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0:18" ht="15.75" customHeight="1"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0:18" ht="15.75" customHeight="1"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0:18" ht="15.75" customHeight="1"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0:18" ht="15.75" customHeight="1"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0:18" ht="15.75" customHeight="1"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0:18" ht="15.75" customHeight="1"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0:18" ht="15.75" customHeight="1"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0:18" ht="15.75" customHeight="1"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0:18" ht="15.75" customHeight="1"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0:18" ht="15.75" customHeight="1"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0:18" ht="15.75" customHeight="1"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0:18" ht="15.75" customHeight="1"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0:18" ht="15.75" customHeight="1"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0:18" ht="15.75" customHeight="1"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0:18" ht="15.75" customHeight="1"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0:18" ht="15.75" customHeight="1"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0:18" ht="15.75" customHeight="1"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0:18" ht="15.75" customHeight="1"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0:18" ht="15.75" customHeight="1"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0:18" ht="15.75" customHeight="1"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0:18" ht="15.75" customHeight="1"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0:18" ht="15.75" customHeight="1"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0:18" ht="15.75" customHeight="1"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0:18" ht="15.75" customHeight="1"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0:18" ht="15.75" customHeight="1"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0:18" ht="15.75" customHeight="1"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0:18" ht="15.75" customHeight="1"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0:18" ht="15.75" customHeight="1"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0:18" ht="15.75" customHeight="1"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0:18" ht="15.75" customHeight="1"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0:18" ht="15.75" customHeight="1"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0:18" ht="15.75" customHeight="1"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0:18" ht="15.75" customHeight="1"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0:18" ht="15.75" customHeight="1"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0:18" ht="15.75" customHeight="1"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0:18" ht="15.75" customHeight="1"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0:18" ht="15.75" customHeight="1"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0:18" ht="15.75" customHeight="1"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0:18" ht="15.75" customHeight="1"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0:18" ht="15.75" customHeight="1"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0:18" ht="15.75" customHeight="1"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0:18" ht="15.75" customHeight="1"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0:18" ht="15.75" customHeight="1"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0:18" ht="15.75" customHeight="1"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0:18" ht="15.75" customHeight="1"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0:18" ht="15.75" customHeight="1"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0:18" ht="15.75" customHeight="1"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0:18" ht="15.75" customHeight="1"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0:18" ht="15.75" customHeight="1"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0:18" ht="15.75" customHeight="1"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0:18" ht="15.75" customHeight="1"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0:18" ht="15.75" customHeight="1"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0:18" ht="15.75" customHeight="1"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0:18" ht="15.75" customHeight="1"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0:18" ht="15.75" customHeight="1"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0:18" ht="15.75" customHeight="1"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0:18" ht="15.75" customHeight="1"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0:18" ht="15.75" customHeight="1"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0:18" ht="15.75" customHeight="1"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0:18" ht="15.75" customHeight="1"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0:18" ht="15.75" customHeight="1"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0:18" ht="15.75" customHeight="1"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0:18" ht="15.75" customHeight="1"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0:18" ht="15.75" customHeight="1"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0:18" ht="15.75" customHeight="1"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0:18" ht="15.75" customHeight="1"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0:18" ht="15.75" customHeight="1"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0:18" ht="15.75" customHeight="1"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0:18" ht="15.75" customHeight="1"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0:18" ht="15.75" customHeight="1"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0:18" ht="15.75" customHeight="1"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0:18" ht="15.75" customHeight="1"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0:18" ht="15.75" customHeight="1"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0:18" ht="15.75" customHeight="1"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0:18" ht="15.75" customHeight="1"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0:18" ht="15.75" customHeight="1"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0:18" ht="15.75" customHeight="1"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0:18" ht="15.75" customHeight="1"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0:18" ht="15.75" customHeight="1"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0:18" ht="15.75" customHeight="1"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0:18" ht="15.75" customHeight="1"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0:18" ht="15.75" customHeight="1"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0:18" ht="15.75" customHeight="1"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0:18" ht="15.75" customHeight="1"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0:18" ht="15.75" customHeight="1"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0:18" ht="15.75" customHeight="1"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0:18" ht="15.75" customHeight="1"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0:18" ht="15.75" customHeight="1"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0:18" ht="15.75" customHeight="1"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0:18" ht="15.75" customHeight="1"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0:18" ht="15.75" customHeight="1"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0:18" ht="15.75" customHeight="1"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0:18" ht="15.75" customHeight="1"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0:18" ht="15.75" customHeight="1"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0:18" ht="15.75" customHeight="1"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0:18" ht="15.75" customHeight="1"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0:18" ht="15.75" customHeight="1"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0:18" ht="15.75" customHeight="1"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0:18" ht="15.75" customHeight="1"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0:18" ht="15.75" customHeight="1"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0:18" ht="15.75" customHeight="1"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0:18" ht="15.75" customHeight="1"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0:18" ht="15.75" customHeight="1"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0:18" ht="15.75" customHeight="1"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0:18" ht="15.75" customHeight="1"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0:18" ht="15.75" customHeight="1"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0:18" ht="15.75" customHeight="1"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0:18" ht="15.75" customHeight="1"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0:18" ht="15.75" customHeight="1"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0:18" ht="15.75" customHeight="1"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0:18" ht="15.75" customHeight="1"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0:18" ht="15.75" customHeight="1"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0:18" ht="15.75" customHeight="1"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0:18" ht="15.75" customHeight="1"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0:18" ht="15.75" customHeight="1"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0:18" ht="15.75" customHeight="1"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0:18" ht="15.75" customHeight="1"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0:18" ht="15.75" customHeight="1"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0:18" ht="15.75" customHeight="1"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0:18" ht="15.75" customHeight="1"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0:18" ht="15.75" customHeight="1"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0:18" ht="15.75" customHeight="1"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0:18" ht="15.75" customHeight="1"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0:18" ht="15.75" customHeight="1"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0:18" ht="15.75" customHeight="1"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0:18" ht="15.75" customHeight="1"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0:18" ht="15.75" customHeight="1"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0:18" ht="15.75" customHeight="1"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0:18" ht="15.75" customHeight="1"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0:18" ht="15.75" customHeight="1"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0:18" ht="15.75" customHeight="1"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0:18" ht="15.75" customHeight="1"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0:18" ht="15.75" customHeight="1"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0:18" ht="15.75" customHeight="1"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0:18" ht="15.75" customHeight="1"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0:18" ht="15.75" customHeight="1"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0:18" ht="15.75" customHeight="1"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0:18" ht="15.75" customHeight="1"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0:18" ht="15.75" customHeight="1"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0:18" ht="15.75" customHeight="1"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0:18" ht="15.75" customHeight="1"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0:18" ht="15.75" customHeight="1"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0:18" ht="15.75" customHeight="1"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0:18" ht="15.75" customHeight="1"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0:18" ht="15.75" customHeight="1"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0:18" ht="15.75" customHeight="1"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0:18" ht="15.75" customHeight="1"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0:18" ht="15.75" customHeight="1"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0:18" ht="15.75" customHeight="1"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0:18" ht="15.75" customHeight="1"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0:18" ht="15.75" customHeight="1"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0:18" ht="15.75" customHeight="1"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0:18" ht="15.75" customHeight="1"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0:18" ht="15.75" customHeight="1"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0:18" ht="15.75" customHeight="1"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0:18" ht="15.75" customHeight="1"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0:18" ht="15.75" customHeight="1"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0:18" ht="15.75" customHeight="1"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0:18" ht="15.75" customHeight="1"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0:18" ht="15.75" customHeight="1"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0:18" ht="15.75" customHeight="1"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0:18" ht="15.75" customHeight="1"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0:18" ht="15.75" customHeight="1"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0:18" ht="15.75" customHeight="1"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0:18" ht="15.75" customHeight="1"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0:18" ht="15.75" customHeight="1"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0:18" ht="15.75" customHeight="1"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0:18" ht="15.75" customHeight="1"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0:18" ht="15.75" customHeight="1"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0:18" ht="15.75" customHeight="1"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0:18" ht="15.75" customHeight="1"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0:18" ht="15.75" customHeight="1"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0:18" ht="15.75" customHeight="1"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0:18" ht="15.75" customHeight="1"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0:18" ht="15.75" customHeight="1"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0:18" ht="15.75" customHeight="1"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0:18" ht="15.75" customHeight="1"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0:18" ht="15.75" customHeight="1"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0:18" ht="15.75" customHeight="1"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0:18" ht="15.75" customHeight="1"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0:18" ht="15.75" customHeight="1"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0:18" ht="15.75" customHeight="1"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0:18" ht="15.75" customHeight="1"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0:18" ht="15.75" customHeight="1"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0:18" ht="15.75" customHeight="1"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0:18" ht="15.75" customHeight="1"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0:18" ht="15.75" customHeight="1"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0:18" ht="15.75" customHeight="1"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0:18" ht="15.75" customHeight="1"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0:18" ht="15.75" customHeight="1"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0:18" ht="15.75" customHeight="1"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0:18" ht="15.75" customHeight="1"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0:18" ht="15.75" customHeight="1"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0:18" ht="15.75" customHeight="1"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0:18" ht="15.75" customHeight="1"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0:18" ht="15.75" customHeight="1"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0:18" ht="15.75" customHeight="1"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0:18" ht="15.75" customHeight="1"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0:18" ht="15.75" customHeight="1"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0:18" ht="15.75" customHeight="1"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0:18" ht="15.75" customHeight="1"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0:18" ht="15.75" customHeight="1"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0:18" ht="15.75" customHeight="1"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0:18" ht="15.75" customHeight="1"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0:18" ht="15.75" customHeight="1"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0:18" ht="15.75" customHeight="1"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0:18" ht="15.75" customHeight="1"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0:18" ht="15.75" customHeight="1"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0:18" ht="15.75" customHeight="1"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0:18" ht="15.75" customHeight="1"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0:18" ht="15.75" customHeight="1"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0:18" ht="15.75" customHeight="1"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0:18" ht="15.75" customHeight="1"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0:18" ht="15.75" customHeight="1"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0:18" ht="15.75" customHeight="1"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0:18" ht="15.75" customHeight="1"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0:18" ht="15.75" customHeight="1">
      <c r="J993" s="40"/>
      <c r="K993" s="40"/>
      <c r="L993" s="40"/>
      <c r="M993" s="40"/>
      <c r="N993" s="40"/>
      <c r="O993" s="40"/>
      <c r="P993" s="40"/>
      <c r="Q993" s="40"/>
      <c r="R993" s="40"/>
    </row>
    <row r="994" spans="10:18" ht="15.75" customHeight="1">
      <c r="J994" s="40"/>
      <c r="K994" s="40"/>
      <c r="L994" s="40"/>
      <c r="M994" s="40"/>
      <c r="N994" s="40"/>
      <c r="O994" s="40"/>
      <c r="P994" s="40"/>
      <c r="Q994" s="40"/>
      <c r="R994" s="40"/>
    </row>
    <row r="995" spans="10:18" ht="15.75" customHeight="1">
      <c r="J995" s="40"/>
      <c r="K995" s="40"/>
      <c r="L995" s="40"/>
      <c r="M995" s="40"/>
      <c r="N995" s="40"/>
      <c r="O995" s="40"/>
      <c r="P995" s="40"/>
      <c r="Q995" s="40"/>
      <c r="R995" s="40"/>
    </row>
    <row r="996" spans="10:18" ht="15.75" customHeight="1">
      <c r="J996" s="40"/>
      <c r="K996" s="40"/>
      <c r="L996" s="40"/>
      <c r="M996" s="40"/>
      <c r="N996" s="40"/>
      <c r="O996" s="40"/>
      <c r="P996" s="40"/>
      <c r="Q996" s="40"/>
      <c r="R996" s="40"/>
    </row>
    <row r="997" spans="10:18" ht="15.75" customHeight="1">
      <c r="J997" s="40"/>
      <c r="K997" s="40"/>
      <c r="L997" s="40"/>
      <c r="M997" s="40"/>
      <c r="N997" s="40"/>
      <c r="O997" s="40"/>
      <c r="P997" s="40"/>
      <c r="Q997" s="40"/>
      <c r="R997" s="40"/>
    </row>
    <row r="998" spans="10:18" ht="15.75" customHeight="1">
      <c r="J998" s="40"/>
      <c r="K998" s="40"/>
      <c r="L998" s="40"/>
      <c r="M998" s="40"/>
      <c r="N998" s="40"/>
      <c r="O998" s="40"/>
      <c r="P998" s="40"/>
      <c r="Q998" s="40"/>
      <c r="R998" s="40"/>
    </row>
    <row r="999" spans="10:18" ht="15.75" customHeight="1">
      <c r="J999" s="40"/>
      <c r="K999" s="40"/>
      <c r="L999" s="40"/>
      <c r="M999" s="40"/>
      <c r="N999" s="40"/>
      <c r="O999" s="40"/>
      <c r="P999" s="40"/>
      <c r="Q999" s="40"/>
      <c r="R999" s="40"/>
    </row>
    <row r="1000" spans="10:18" ht="15.75" customHeight="1">
      <c r="J1000" s="40"/>
      <c r="K1000" s="40"/>
      <c r="L1000" s="40"/>
      <c r="M1000" s="40"/>
      <c r="N1000" s="40"/>
      <c r="O1000" s="40"/>
      <c r="P1000" s="40"/>
      <c r="Q1000" s="40"/>
      <c r="R1000" s="40"/>
    </row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Z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35.125" customWidth="1"/>
    <col min="5" max="7" width="8.625" customWidth="1"/>
    <col min="8" max="9" width="2.125" customWidth="1"/>
    <col min="10" max="10" width="11.875" customWidth="1"/>
    <col min="11" max="13" width="11.75" customWidth="1"/>
    <col min="14" max="14" width="12.125" customWidth="1"/>
    <col min="15" max="18" width="13.25" customWidth="1"/>
    <col min="19" max="20" width="9.75" customWidth="1"/>
    <col min="21" max="26" width="8.625" customWidth="1"/>
  </cols>
  <sheetData>
    <row r="1" spans="1:26" ht="7.5" customHeight="1">
      <c r="J1" s="40"/>
      <c r="K1" s="40"/>
      <c r="L1" s="40"/>
      <c r="M1" s="40"/>
      <c r="N1" s="40"/>
      <c r="O1" s="40"/>
      <c r="P1" s="40"/>
      <c r="Q1" s="40"/>
      <c r="R1" s="40"/>
    </row>
    <row r="2" spans="1:26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41"/>
      <c r="K2" s="41"/>
      <c r="L2" s="41"/>
      <c r="M2" s="41"/>
      <c r="N2" s="41"/>
      <c r="O2" s="41"/>
      <c r="P2" s="41"/>
      <c r="Q2" s="41"/>
      <c r="R2" s="41"/>
      <c r="S2" s="1"/>
    </row>
    <row r="3" spans="1:26" ht="18">
      <c r="A3" s="1"/>
      <c r="B3" s="1"/>
      <c r="C3" s="3" t="s">
        <v>279</v>
      </c>
      <c r="D3" s="1"/>
      <c r="E3" s="1"/>
      <c r="F3" s="1"/>
      <c r="G3" s="1"/>
      <c r="H3" s="1"/>
      <c r="I3" s="1"/>
      <c r="J3" s="41"/>
      <c r="K3" s="41"/>
      <c r="L3" s="41"/>
      <c r="M3" s="41"/>
      <c r="N3" s="41"/>
      <c r="O3" s="41"/>
      <c r="P3" s="41"/>
      <c r="Q3" s="41"/>
      <c r="R3" s="41"/>
      <c r="S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41"/>
      <c r="K4" s="41"/>
      <c r="L4" s="41"/>
      <c r="M4" s="41"/>
      <c r="N4" s="41"/>
      <c r="O4" s="41"/>
      <c r="P4" s="41"/>
      <c r="Q4" s="41"/>
      <c r="R4" s="41"/>
      <c r="S4" s="1"/>
    </row>
    <row r="5" spans="1:26">
      <c r="D5" s="42" t="str">
        <f>"Balance sheet check: " &amp;BSCheck</f>
        <v>Balance sheet check: OK</v>
      </c>
      <c r="I5" s="43" t="s">
        <v>56</v>
      </c>
      <c r="J5" s="44"/>
      <c r="K5" s="44">
        <f t="shared" ref="K5:R5" si="0">J6+1</f>
        <v>44562</v>
      </c>
      <c r="L5" s="44">
        <f t="shared" si="0"/>
        <v>44927</v>
      </c>
      <c r="M5" s="44">
        <f t="shared" si="0"/>
        <v>45292</v>
      </c>
      <c r="N5" s="44">
        <f t="shared" si="0"/>
        <v>45658</v>
      </c>
      <c r="O5" s="44">
        <f t="shared" si="0"/>
        <v>46023</v>
      </c>
      <c r="P5" s="44">
        <f t="shared" si="0"/>
        <v>46388</v>
      </c>
      <c r="Q5" s="44">
        <f t="shared" si="0"/>
        <v>46753</v>
      </c>
      <c r="R5" s="44">
        <f t="shared" si="0"/>
        <v>47119</v>
      </c>
      <c r="S5" s="9"/>
      <c r="T5" s="9"/>
    </row>
    <row r="6" spans="1:26">
      <c r="D6" s="42" t="str">
        <f t="array" ref="D6">livescenario</f>
        <v>Live Scenario: Base case</v>
      </c>
      <c r="I6" s="43" t="s">
        <v>57</v>
      </c>
      <c r="J6" s="45">
        <f>Guide!E14-1</f>
        <v>44561</v>
      </c>
      <c r="K6" s="44">
        <f t="shared" ref="K6:R6" si="1">EOMONTH(K5,11)</f>
        <v>44926</v>
      </c>
      <c r="L6" s="44">
        <f t="shared" si="1"/>
        <v>45291</v>
      </c>
      <c r="M6" s="44">
        <f t="shared" si="1"/>
        <v>45657</v>
      </c>
      <c r="N6" s="44">
        <f t="shared" si="1"/>
        <v>46022</v>
      </c>
      <c r="O6" s="44">
        <f t="shared" si="1"/>
        <v>46387</v>
      </c>
      <c r="P6" s="44">
        <f t="shared" si="1"/>
        <v>46752</v>
      </c>
      <c r="Q6" s="44">
        <f t="shared" si="1"/>
        <v>47118</v>
      </c>
      <c r="R6" s="44">
        <f t="shared" si="1"/>
        <v>47483</v>
      </c>
      <c r="S6" s="9"/>
      <c r="T6" s="9"/>
    </row>
    <row r="7" spans="1:26" ht="6" customHeight="1">
      <c r="J7" s="40"/>
      <c r="K7" s="40"/>
      <c r="L7" s="40"/>
      <c r="M7" s="40"/>
      <c r="N7" s="40"/>
      <c r="O7" s="40"/>
      <c r="P7" s="40"/>
      <c r="Q7" s="40"/>
      <c r="R7" s="40"/>
    </row>
    <row r="8" spans="1:26" ht="14.25">
      <c r="A8" s="18"/>
      <c r="B8" s="18"/>
      <c r="C8" s="18"/>
      <c r="D8" s="18" t="s">
        <v>58</v>
      </c>
      <c r="E8" s="18" t="s">
        <v>59</v>
      </c>
      <c r="F8" s="18" t="s">
        <v>60</v>
      </c>
      <c r="G8" s="18" t="s">
        <v>61</v>
      </c>
      <c r="H8" s="18"/>
      <c r="I8" s="18"/>
      <c r="J8" s="46"/>
      <c r="K8" s="46" t="s">
        <v>62</v>
      </c>
      <c r="L8" s="46" t="s">
        <v>62</v>
      </c>
      <c r="M8" s="46" t="s">
        <v>62</v>
      </c>
      <c r="N8" s="46" t="s">
        <v>62</v>
      </c>
      <c r="O8" s="46" t="s">
        <v>63</v>
      </c>
      <c r="P8" s="46" t="s">
        <v>63</v>
      </c>
      <c r="Q8" s="46" t="s">
        <v>63</v>
      </c>
      <c r="R8" s="46" t="s">
        <v>63</v>
      </c>
      <c r="S8" s="18"/>
      <c r="T8" s="18"/>
      <c r="U8" s="18"/>
      <c r="V8" s="18"/>
      <c r="W8" s="18"/>
      <c r="X8" s="18"/>
      <c r="Y8" s="18"/>
      <c r="Z8" s="18"/>
    </row>
    <row r="9" spans="1:26" ht="20.25">
      <c r="B9" s="47" t="s">
        <v>279</v>
      </c>
      <c r="C9" s="47"/>
      <c r="D9" s="47"/>
      <c r="E9" s="47"/>
      <c r="F9" s="47"/>
      <c r="G9" s="47"/>
      <c r="H9" s="47"/>
      <c r="I9" s="47"/>
      <c r="J9" s="48"/>
      <c r="K9" s="48"/>
      <c r="L9" s="48"/>
      <c r="M9" s="48"/>
      <c r="N9" s="48"/>
      <c r="O9" s="48"/>
      <c r="P9" s="48"/>
      <c r="Q9" s="48"/>
      <c r="R9" s="48"/>
    </row>
    <row r="10" spans="1:26" ht="18">
      <c r="C10" s="49" t="s">
        <v>280</v>
      </c>
      <c r="D10" s="49"/>
      <c r="E10" s="49"/>
      <c r="F10" s="49"/>
      <c r="G10" s="49"/>
      <c r="H10" s="49"/>
      <c r="I10" s="49"/>
      <c r="J10" s="50"/>
      <c r="K10" s="50"/>
      <c r="L10" s="50"/>
      <c r="M10" s="50"/>
      <c r="N10" s="50"/>
      <c r="O10" s="50"/>
      <c r="P10" s="50"/>
      <c r="Q10" s="50"/>
      <c r="R10" s="50"/>
    </row>
    <row r="11" spans="1:26" ht="14.25">
      <c r="D11" s="77" t="s">
        <v>267</v>
      </c>
      <c r="E11" s="25" t="str">
        <f t="shared" ref="E11:E23" si="2">currency</f>
        <v>(₦'000)</v>
      </c>
      <c r="J11" s="40"/>
      <c r="K11" s="40"/>
      <c r="L11" s="40"/>
      <c r="M11" s="40"/>
      <c r="O11" s="87">
        <f>'P or L'!O23</f>
        <v>36846699.083464049</v>
      </c>
      <c r="P11" s="87">
        <f>'P or L'!P23</f>
        <v>51159698.071299627</v>
      </c>
      <c r="Q11" s="87">
        <f>'P or L'!Q23</f>
        <v>67455384.532807156</v>
      </c>
      <c r="R11" s="87">
        <f>'P or L'!R23</f>
        <v>84415966.643826202</v>
      </c>
    </row>
    <row r="12" spans="1:26" ht="15" customHeight="1">
      <c r="D12" s="77" t="s">
        <v>281</v>
      </c>
      <c r="E12" s="25" t="str">
        <f t="shared" si="2"/>
        <v>(₦'000)</v>
      </c>
      <c r="J12" s="40"/>
      <c r="K12" s="40"/>
      <c r="L12" s="40"/>
      <c r="M12" s="40"/>
    </row>
    <row r="13" spans="1:26" ht="15" customHeight="1">
      <c r="D13" s="77" t="str">
        <f>'P or L'!D20</f>
        <v>Depreciation of PPE</v>
      </c>
      <c r="E13" s="25" t="str">
        <f t="shared" si="2"/>
        <v>(₦'000)</v>
      </c>
      <c r="J13" s="40"/>
      <c r="K13" s="40"/>
      <c r="L13" s="40"/>
      <c r="M13" s="40"/>
      <c r="O13" s="87">
        <f>'P or L'!O20</f>
        <v>2074606.5385025337</v>
      </c>
      <c r="P13" s="87">
        <f>'P or L'!P20</f>
        <v>2088518.2771853027</v>
      </c>
      <c r="Q13" s="87">
        <f>'P or L'!Q20</f>
        <v>2102523.304146878</v>
      </c>
      <c r="R13" s="87">
        <f>'P or L'!R20</f>
        <v>2116622.2449527024</v>
      </c>
    </row>
    <row r="14" spans="1:26" ht="15" customHeight="1">
      <c r="D14" s="77" t="str">
        <f>'P or L'!D21</f>
        <v>Depreciation in Right of use Asset</v>
      </c>
      <c r="E14" s="25" t="str">
        <f t="shared" si="2"/>
        <v>(₦'000)</v>
      </c>
      <c r="J14" s="40"/>
      <c r="K14" s="40"/>
      <c r="L14" s="40"/>
      <c r="M14" s="40"/>
      <c r="O14" s="87">
        <f>'P or L'!O21</f>
        <v>0</v>
      </c>
      <c r="P14" s="87">
        <f>'P or L'!P21</f>
        <v>0</v>
      </c>
      <c r="Q14" s="87">
        <f>'P or L'!Q21</f>
        <v>0</v>
      </c>
      <c r="R14" s="87">
        <f>'P or L'!R21</f>
        <v>0</v>
      </c>
    </row>
    <row r="15" spans="1:26" ht="15" customHeight="1">
      <c r="D15" s="25" t="s">
        <v>282</v>
      </c>
      <c r="E15" s="25" t="str">
        <f t="shared" si="2"/>
        <v>(₦'000)</v>
      </c>
      <c r="J15" s="40"/>
      <c r="K15" s="40"/>
      <c r="L15" s="40"/>
      <c r="M15" s="40"/>
      <c r="O15" s="87">
        <f>'P or L'!O22</f>
        <v>1049401.453934649</v>
      </c>
      <c r="P15" s="87">
        <f>'P or L'!P22</f>
        <v>1511652.3454997656</v>
      </c>
      <c r="Q15" s="87">
        <f>'P or L'!Q22</f>
        <v>2177520.152165947</v>
      </c>
      <c r="R15" s="87">
        <f>'P or L'!R22</f>
        <v>3136696.0976210423</v>
      </c>
    </row>
    <row r="16" spans="1:26" ht="15" customHeight="1">
      <c r="D16" s="77" t="s">
        <v>266</v>
      </c>
      <c r="E16" s="25" t="str">
        <f t="shared" si="2"/>
        <v>(₦'000)</v>
      </c>
      <c r="J16" s="40"/>
      <c r="K16" s="40"/>
      <c r="L16" s="40"/>
      <c r="M16" s="40"/>
      <c r="O16" s="87">
        <f>O11+O13+O14+O15</f>
        <v>39970707.075901233</v>
      </c>
      <c r="P16" s="87">
        <f>P11+P13+P14+P15</f>
        <v>54759868.693984702</v>
      </c>
      <c r="Q16" s="87">
        <f>Q11+Q13+Q14+Q15</f>
        <v>71735427.989119977</v>
      </c>
      <c r="R16" s="87">
        <f>R11+R13+R14+R15</f>
        <v>89669284.986399949</v>
      </c>
    </row>
    <row r="17" spans="3:18" ht="15" customHeight="1">
      <c r="D17" s="77" t="s">
        <v>283</v>
      </c>
      <c r="E17" s="25" t="str">
        <f t="shared" si="2"/>
        <v>(₦'000)</v>
      </c>
      <c r="J17" s="40"/>
      <c r="K17" s="40"/>
      <c r="L17" s="40"/>
      <c r="M17" s="40"/>
      <c r="O17" s="82">
        <f>Calculation!O122</f>
        <v>-23738649.122261062</v>
      </c>
      <c r="P17" s="82">
        <f>Calculation!P122</f>
        <v>-23660362.318569943</v>
      </c>
      <c r="Q17" s="82">
        <f>Calculation!Q122</f>
        <v>-26650260.767768711</v>
      </c>
      <c r="R17" s="82">
        <f>Calculation!R122</f>
        <v>-28382998.116964757</v>
      </c>
    </row>
    <row r="18" spans="3:18" ht="15" customHeight="1">
      <c r="D18" s="6" t="s">
        <v>230</v>
      </c>
      <c r="E18" s="25" t="str">
        <f t="shared" si="2"/>
        <v>(₦'000)</v>
      </c>
      <c r="J18" s="40"/>
      <c r="K18" s="40"/>
      <c r="L18" s="40"/>
      <c r="M18" s="40"/>
      <c r="O18" s="87">
        <f>-'P or L'!O24</f>
        <v>-5730479</v>
      </c>
      <c r="P18" s="87">
        <f>-'P or L'!P24</f>
        <v>-5730479</v>
      </c>
      <c r="Q18" s="87">
        <f>-'P or L'!Q24</f>
        <v>-5730479</v>
      </c>
      <c r="R18" s="87">
        <f>-'P or L'!R24</f>
        <v>-5730479</v>
      </c>
    </row>
    <row r="19" spans="3:18" ht="15" customHeight="1">
      <c r="D19" s="6" t="s">
        <v>70</v>
      </c>
      <c r="E19" s="25" t="str">
        <f t="shared" si="2"/>
        <v>(₦'000)</v>
      </c>
      <c r="J19" s="40"/>
      <c r="K19" s="40"/>
      <c r="L19" s="40"/>
      <c r="M19" s="40"/>
      <c r="O19" s="87">
        <f>-'P or L'!O25</f>
        <v>-217254.5</v>
      </c>
      <c r="P19" s="87">
        <f>-'P or L'!P25</f>
        <v>-217254.5</v>
      </c>
      <c r="Q19" s="87">
        <f>-'P or L'!Q25</f>
        <v>-217254.5</v>
      </c>
      <c r="R19" s="87">
        <f>-'P or L'!R25</f>
        <v>-217254.5</v>
      </c>
    </row>
    <row r="20" spans="3:18" ht="15" customHeight="1">
      <c r="D20" s="77" t="str">
        <f>'P or L'!D26</f>
        <v>Finance income</v>
      </c>
      <c r="E20" s="25" t="str">
        <f t="shared" si="2"/>
        <v>(₦'000)</v>
      </c>
      <c r="J20" s="40"/>
      <c r="K20" s="40"/>
      <c r="L20" s="40"/>
      <c r="M20" s="40"/>
      <c r="O20" s="87">
        <f>'P or L'!O26</f>
        <v>179574.24599109867</v>
      </c>
      <c r="P20" s="87">
        <f>'P or L'!P26</f>
        <v>76239.093079417915</v>
      </c>
      <c r="Q20" s="87">
        <f>'P or L'!Q26</f>
        <v>76239.093079417915</v>
      </c>
      <c r="R20" s="87">
        <f>'P or L'!R26</f>
        <v>76239.093079417915</v>
      </c>
    </row>
    <row r="21" spans="3:18" ht="15.75" customHeight="1">
      <c r="D21" s="77" t="str">
        <f>'P or L'!D27</f>
        <v>Finance cost</v>
      </c>
      <c r="E21" s="25" t="str">
        <f t="shared" si="2"/>
        <v>(₦'000)</v>
      </c>
      <c r="J21" s="40"/>
      <c r="K21" s="40"/>
      <c r="L21" s="40"/>
      <c r="M21" s="40"/>
      <c r="O21" s="87">
        <f>-'P or L'!O27</f>
        <v>-7288421.1301925974</v>
      </c>
      <c r="P21" s="87">
        <f>-'P or L'!P27</f>
        <v>-9683216.4014802892</v>
      </c>
      <c r="Q21" s="87">
        <f>-'P or L'!Q27</f>
        <v>-11552746.828957649</v>
      </c>
      <c r="R21" s="87">
        <f>-'P or L'!R27</f>
        <v>-12734445.593868628</v>
      </c>
    </row>
    <row r="22" spans="3:18" ht="15.75" customHeight="1">
      <c r="D22" s="77" t="str">
        <f>'P or L'!D29</f>
        <v>Taxation</v>
      </c>
      <c r="E22" s="25" t="str">
        <f t="shared" si="2"/>
        <v>(₦'000)</v>
      </c>
      <c r="J22" s="40"/>
      <c r="K22" s="40"/>
      <c r="L22" s="40"/>
      <c r="M22" s="40"/>
      <c r="O22" s="87">
        <f>-'P or L'!O29</f>
        <v>-9137648.2890877258</v>
      </c>
      <c r="P22" s="87">
        <f>-'P or L'!P29</f>
        <v>-13675671.612176623</v>
      </c>
      <c r="Q22" s="87">
        <f>-'P or L'!Q29</f>
        <v>-19216675.491512228</v>
      </c>
      <c r="R22" s="87">
        <f>-'P or L'!R29</f>
        <v>-25277254.18109012</v>
      </c>
    </row>
    <row r="23" spans="3:18" ht="15.75" customHeight="1">
      <c r="D23" s="19" t="s">
        <v>284</v>
      </c>
      <c r="E23" s="25" t="str">
        <f t="shared" si="2"/>
        <v>(₦'000)</v>
      </c>
      <c r="J23" s="40"/>
      <c r="K23" s="40"/>
      <c r="L23" s="40"/>
      <c r="M23" s="40"/>
      <c r="O23" s="87">
        <f>SUM(O16:O22)</f>
        <v>-5962170.719649055</v>
      </c>
      <c r="P23" s="87">
        <f>SUM(P16:P22)</f>
        <v>1869123.9548372645</v>
      </c>
      <c r="Q23" s="87">
        <f>SUM(Q16:Q22)</f>
        <v>8444250.493960809</v>
      </c>
      <c r="R23" s="87">
        <f>SUM(R16:R22)</f>
        <v>17403092.687555861</v>
      </c>
    </row>
    <row r="24" spans="3:18" ht="15.75" customHeight="1">
      <c r="J24" s="40"/>
      <c r="K24" s="40"/>
      <c r="L24" s="40"/>
      <c r="M24" s="40"/>
    </row>
    <row r="25" spans="3:18" ht="15.75" customHeight="1">
      <c r="C25" s="49" t="s">
        <v>285</v>
      </c>
      <c r="D25" s="49"/>
      <c r="E25" s="49"/>
      <c r="F25" s="49"/>
      <c r="G25" s="49"/>
      <c r="H25" s="49"/>
      <c r="I25" s="49"/>
      <c r="J25" s="50"/>
      <c r="K25" s="50"/>
      <c r="L25" s="50"/>
      <c r="M25" s="50"/>
      <c r="N25" s="50"/>
      <c r="O25" s="50"/>
      <c r="P25" s="50"/>
      <c r="Q25" s="50"/>
      <c r="R25" s="50"/>
    </row>
    <row r="26" spans="3:18" ht="15.75" customHeight="1">
      <c r="D26" s="77" t="s">
        <v>286</v>
      </c>
      <c r="E26" s="82" t="str">
        <f>currency</f>
        <v>(₦'000)</v>
      </c>
      <c r="J26" s="40"/>
      <c r="K26" s="40"/>
      <c r="L26" s="40"/>
      <c r="M26" s="40"/>
      <c r="O26" s="87">
        <f>-Calculation!O32</f>
        <v>-2282067.1923527871</v>
      </c>
      <c r="P26" s="87">
        <f>-Calculation!P32</f>
        <v>-2297370.104903833</v>
      </c>
      <c r="Q26" s="87">
        <f>-Calculation!Q32</f>
        <v>-2312775.6345615662</v>
      </c>
      <c r="R26" s="87">
        <f>-Calculation!R32</f>
        <v>-2328284.4694479727</v>
      </c>
    </row>
    <row r="27" spans="3:18" ht="15.75" customHeight="1">
      <c r="D27" s="77" t="s">
        <v>287</v>
      </c>
      <c r="E27" s="82" t="str">
        <f>currency</f>
        <v>(₦'000)</v>
      </c>
      <c r="J27" s="40"/>
      <c r="K27" s="40"/>
      <c r="L27" s="40"/>
      <c r="M27" s="40"/>
      <c r="O27" s="87">
        <f>-Calculation!O38</f>
        <v>0</v>
      </c>
      <c r="P27" s="87">
        <f>-Calculation!P38</f>
        <v>0</v>
      </c>
      <c r="Q27" s="87">
        <f>-Calculation!Q38</f>
        <v>0</v>
      </c>
      <c r="R27" s="87">
        <f>-Calculation!R38</f>
        <v>0</v>
      </c>
    </row>
    <row r="28" spans="3:18" ht="15.75" customHeight="1">
      <c r="D28" s="25" t="s">
        <v>288</v>
      </c>
      <c r="E28" s="82" t="str">
        <f>currency</f>
        <v>(₦'000)</v>
      </c>
      <c r="J28" s="40"/>
      <c r="K28" s="40"/>
      <c r="L28" s="40"/>
      <c r="M28" s="40"/>
      <c r="O28" s="87">
        <f>-Calculation!O44</f>
        <v>-1154341.599328114</v>
      </c>
      <c r="P28" s="87">
        <f>-Calculation!P44</f>
        <v>-1662817.5800497422</v>
      </c>
      <c r="Q28" s="87">
        <f>-Calculation!Q44</f>
        <v>-2395272.167382542</v>
      </c>
      <c r="R28" s="87">
        <f>-Calculation!R44</f>
        <v>-3450365.707383147</v>
      </c>
    </row>
    <row r="29" spans="3:18" ht="15.75" customHeight="1">
      <c r="D29" s="19" t="s">
        <v>289</v>
      </c>
      <c r="J29" s="40"/>
      <c r="K29" s="40"/>
      <c r="L29" s="40"/>
      <c r="M29" s="40"/>
      <c r="N29" s="40"/>
      <c r="O29" s="87">
        <f>O26+O27+O28</f>
        <v>-3436408.7916809013</v>
      </c>
      <c r="P29" s="87">
        <f>P26+P27+P28</f>
        <v>-3960187.684953575</v>
      </c>
      <c r="Q29" s="87">
        <f>Q26+Q27+Q28</f>
        <v>-4708047.8019441087</v>
      </c>
      <c r="R29" s="87">
        <f>R26+R27+R28</f>
        <v>-5778650.1768311197</v>
      </c>
    </row>
    <row r="30" spans="3:18" ht="15.75" customHeight="1">
      <c r="J30" s="40"/>
      <c r="K30" s="40"/>
      <c r="L30" s="40"/>
      <c r="M30" s="40"/>
      <c r="N30" s="40"/>
    </row>
    <row r="31" spans="3:18" ht="15.75" customHeight="1">
      <c r="C31" s="49" t="s">
        <v>290</v>
      </c>
      <c r="D31" s="49"/>
      <c r="E31" s="49"/>
      <c r="F31" s="49"/>
      <c r="G31" s="49"/>
      <c r="H31" s="49"/>
      <c r="I31" s="49"/>
      <c r="J31" s="50"/>
      <c r="K31" s="50"/>
      <c r="L31" s="50"/>
      <c r="M31" s="50"/>
      <c r="N31" s="50"/>
      <c r="O31" s="50"/>
      <c r="P31" s="50"/>
      <c r="Q31" s="50"/>
      <c r="R31" s="50"/>
    </row>
    <row r="32" spans="3:18" ht="15.75" customHeight="1">
      <c r="D32" s="25" t="s">
        <v>291</v>
      </c>
      <c r="J32" s="40"/>
      <c r="K32" s="40"/>
      <c r="L32" s="40"/>
      <c r="M32" s="40"/>
      <c r="N32" s="40"/>
      <c r="O32" s="87">
        <f>Calculation!O68</f>
        <v>0</v>
      </c>
      <c r="P32" s="87">
        <f>Calculation!P68</f>
        <v>0</v>
      </c>
      <c r="Q32" s="87">
        <f>Calculation!Q68</f>
        <v>0</v>
      </c>
      <c r="R32" s="87">
        <f>Calculation!R68</f>
        <v>0</v>
      </c>
    </row>
    <row r="33" spans="1:26" ht="15.75" customHeight="1">
      <c r="D33" s="25" t="s">
        <v>292</v>
      </c>
      <c r="J33" s="40"/>
      <c r="K33" s="40"/>
      <c r="L33" s="40"/>
      <c r="M33" s="40"/>
      <c r="N33" s="40"/>
      <c r="O33" s="87">
        <f>Calculation!O73</f>
        <v>0</v>
      </c>
      <c r="P33" s="87">
        <f>Calculation!P73</f>
        <v>0</v>
      </c>
      <c r="Q33" s="87">
        <f>Calculation!Q73</f>
        <v>0</v>
      </c>
      <c r="R33" s="87">
        <f>Calculation!R73</f>
        <v>0</v>
      </c>
    </row>
    <row r="34" spans="1:26" ht="15.75" customHeight="1">
      <c r="D34" s="25" t="s">
        <v>293</v>
      </c>
      <c r="J34" s="40"/>
      <c r="K34" s="40"/>
      <c r="L34" s="40"/>
      <c r="M34" s="40"/>
      <c r="N34" s="40"/>
      <c r="O34" s="87">
        <f>-Calculation!O51</f>
        <v>-4371484.282119263</v>
      </c>
      <c r="P34" s="87">
        <f>-Calculation!P51</f>
        <v>-6542491.1978116035</v>
      </c>
      <c r="Q34" s="87">
        <f>-Calculation!Q51</f>
        <v>-9193327.6711965688</v>
      </c>
      <c r="R34" s="87">
        <f>-Calculation!R51</f>
        <v>-12092730.629578739</v>
      </c>
    </row>
    <row r="35" spans="1:26" ht="15.75" customHeight="1">
      <c r="D35" s="25" t="s">
        <v>294</v>
      </c>
      <c r="J35" s="40"/>
      <c r="K35" s="40"/>
      <c r="L35" s="40"/>
      <c r="M35" s="40"/>
      <c r="N35" s="40"/>
      <c r="O35" s="87">
        <f>Calculation!O56</f>
        <v>8468339</v>
      </c>
      <c r="P35" s="87">
        <f>Calculation!P56</f>
        <v>7589446.333333333</v>
      </c>
      <c r="Q35" s="87">
        <f>Calculation!Q56</f>
        <v>7352595.111111111</v>
      </c>
      <c r="R35" s="87">
        <f>Calculation!R56</f>
        <v>7803460.1481481483</v>
      </c>
    </row>
    <row r="36" spans="1:26" ht="15.75" customHeight="1">
      <c r="D36" s="25" t="s">
        <v>295</v>
      </c>
      <c r="J36" s="40"/>
      <c r="K36" s="40"/>
      <c r="L36" s="40"/>
      <c r="M36" s="40"/>
      <c r="N36" s="40"/>
      <c r="O36" s="87">
        <f>Calculation!O62</f>
        <v>15097431.666666666</v>
      </c>
      <c r="P36" s="87">
        <f>Calculation!P62</f>
        <v>16796575.555555556</v>
      </c>
      <c r="Q36" s="87">
        <f>Calculation!Q62</f>
        <v>17179784.074074075</v>
      </c>
      <c r="R36" s="87">
        <f>Calculation!R62</f>
        <v>16357930.432098767</v>
      </c>
    </row>
    <row r="37" spans="1:26" ht="15.75" customHeight="1">
      <c r="D37" s="25" t="s">
        <v>296</v>
      </c>
      <c r="J37" s="40"/>
      <c r="K37" s="40"/>
      <c r="L37" s="40"/>
      <c r="M37" s="40"/>
      <c r="N37" s="40"/>
      <c r="O37" s="87">
        <f>-Calculation!O57</f>
        <v>-7332755</v>
      </c>
      <c r="P37" s="87">
        <f>-Calculation!P57</f>
        <v>-8576061.333333334</v>
      </c>
      <c r="Q37" s="87">
        <f>-Calculation!Q57</f>
        <v>-8206247.1111111119</v>
      </c>
      <c r="R37" s="87">
        <f>-Calculation!R57</f>
        <v>-8038354.4814814823</v>
      </c>
    </row>
    <row r="38" spans="1:26" ht="15.75" customHeight="1">
      <c r="D38" s="25" t="s">
        <v>297</v>
      </c>
      <c r="J38" s="40"/>
      <c r="K38" s="40"/>
      <c r="L38" s="40"/>
      <c r="M38" s="40"/>
      <c r="N38" s="40"/>
      <c r="O38" s="87">
        <f>-Calculation!O63</f>
        <v>-9548983.333333334</v>
      </c>
      <c r="P38" s="87">
        <f>-Calculation!P63</f>
        <v>-11731977.777777778</v>
      </c>
      <c r="Q38" s="87">
        <f>-Calculation!Q63</f>
        <v>-12309303.703703703</v>
      </c>
      <c r="R38" s="87">
        <f>-Calculation!R63</f>
        <v>-11196754.938271604</v>
      </c>
    </row>
    <row r="39" spans="1:26" ht="15.75" customHeight="1">
      <c r="D39" s="25" t="s">
        <v>329</v>
      </c>
      <c r="J39" s="40"/>
      <c r="K39" s="40"/>
      <c r="L39" s="40"/>
      <c r="M39" s="40"/>
      <c r="N39" s="40"/>
      <c r="O39" s="87">
        <f>MAX(-Calculation!N117,Drivers!O84-(O42+O23+O29+SUM(O32:O38)))</f>
        <v>4375213.4601158854</v>
      </c>
      <c r="P39" s="87">
        <f>MAX(-Calculation!O117,Drivers!P84-(P42+P23+P29+SUM(P32:P38)))</f>
        <v>4555572.150150138</v>
      </c>
      <c r="Q39" s="87">
        <f>MAX(-Calculation!P117,Drivers!Q84-(Q42+Q23+Q29+SUM(Q32:Q38)))</f>
        <v>1440296.6088094972</v>
      </c>
      <c r="R39" s="87">
        <f>MAX(-Calculation!Q117,Drivers!R84-(R42+R23+R29+SUM(R32:R38)))</f>
        <v>-4457993.04163983</v>
      </c>
    </row>
    <row r="40" spans="1:26" ht="15.75" customHeight="1">
      <c r="D40" s="19" t="s">
        <v>328</v>
      </c>
      <c r="J40" s="40"/>
      <c r="K40" s="40"/>
      <c r="L40" s="40"/>
      <c r="M40" s="40"/>
      <c r="N40" s="40"/>
      <c r="O40" s="87">
        <f>SUM(O32:O39)</f>
        <v>6687761.5113299564</v>
      </c>
      <c r="P40" s="87">
        <f>SUM(P32:P39)</f>
        <v>2091063.7301163105</v>
      </c>
      <c r="Q40" s="87">
        <f>SUM(Q32:Q39)</f>
        <v>-3736202.6920167003</v>
      </c>
      <c r="R40" s="87">
        <f>SUM(R32:R39)</f>
        <v>-11624442.510724742</v>
      </c>
    </row>
    <row r="41" spans="1:26" ht="15.75" customHeight="1">
      <c r="C41" s="49" t="s">
        <v>298</v>
      </c>
      <c r="D41" s="49"/>
      <c r="E41" s="49"/>
      <c r="F41" s="49"/>
      <c r="G41" s="49"/>
      <c r="H41" s="49"/>
      <c r="I41" s="49"/>
      <c r="J41" s="50"/>
      <c r="K41" s="50"/>
      <c r="L41" s="50"/>
      <c r="M41" s="50"/>
      <c r="N41" s="50"/>
      <c r="O41" s="50"/>
      <c r="P41" s="50"/>
      <c r="Q41" s="50"/>
      <c r="R41" s="50"/>
    </row>
    <row r="42" spans="1:26" ht="15.75" customHeight="1">
      <c r="D42" s="25" t="s">
        <v>234</v>
      </c>
      <c r="J42" s="40"/>
      <c r="K42" s="40"/>
      <c r="L42" s="40"/>
      <c r="M42" s="40"/>
      <c r="N42" s="40"/>
      <c r="O42" s="87">
        <f>N44</f>
        <v>4710818</v>
      </c>
      <c r="P42" s="82">
        <f>O44</f>
        <v>2000000</v>
      </c>
      <c r="Q42" s="82">
        <f>P44</f>
        <v>2000000</v>
      </c>
      <c r="R42" s="82">
        <f>Q44</f>
        <v>2000000</v>
      </c>
    </row>
    <row r="43" spans="1:26" ht="15.75" customHeight="1">
      <c r="D43" s="25" t="s">
        <v>299</v>
      </c>
      <c r="J43" s="40"/>
      <c r="K43" s="40"/>
      <c r="L43" s="40"/>
      <c r="M43" s="40"/>
      <c r="N43" s="40"/>
      <c r="O43" s="87">
        <f>O23+O29+O40</f>
        <v>-2710818</v>
      </c>
      <c r="P43" s="87">
        <f>P23+P29+P40</f>
        <v>0</v>
      </c>
      <c r="Q43" s="87">
        <f>Q23+Q29+Q40</f>
        <v>0</v>
      </c>
      <c r="R43" s="87">
        <f>R23+R29+R40</f>
        <v>0</v>
      </c>
    </row>
    <row r="44" spans="1:26" ht="15.75" customHeight="1">
      <c r="A44" s="19"/>
      <c r="B44" s="19"/>
      <c r="C44" s="19"/>
      <c r="D44" s="19" t="s">
        <v>195</v>
      </c>
      <c r="E44" s="19"/>
      <c r="F44" s="19"/>
      <c r="G44" s="19"/>
      <c r="H44" s="19"/>
      <c r="I44" s="19"/>
      <c r="J44" s="54"/>
      <c r="K44" s="54"/>
      <c r="L44" s="54"/>
      <c r="M44" s="54"/>
      <c r="N44" s="79">
        <f>BS!N29</f>
        <v>4710818</v>
      </c>
      <c r="O44" s="88">
        <f>O43+O42</f>
        <v>2000000</v>
      </c>
      <c r="P44" s="88">
        <f>P43+P42</f>
        <v>2000000</v>
      </c>
      <c r="Q44" s="88">
        <f>Q43+Q42</f>
        <v>2000000</v>
      </c>
      <c r="R44" s="88">
        <f>R43+R42</f>
        <v>2000000</v>
      </c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J45" s="40"/>
      <c r="K45" s="40"/>
      <c r="L45" s="40"/>
      <c r="M45" s="40"/>
      <c r="N45" s="40"/>
    </row>
    <row r="46" spans="1:26" ht="15.75" customHeight="1">
      <c r="J46" s="40"/>
      <c r="K46" s="40"/>
      <c r="L46" s="40"/>
      <c r="M46" s="40"/>
      <c r="N46" s="40"/>
      <c r="O46" s="75">
        <f>O44-BS!O58</f>
        <v>2000000</v>
      </c>
      <c r="P46" s="75">
        <f>P44-BS!P58</f>
        <v>2000000</v>
      </c>
      <c r="Q46" s="75">
        <f>Q44-BS!Q58</f>
        <v>2000000</v>
      </c>
      <c r="R46" s="75">
        <f>R44-BS!R58</f>
        <v>2000000</v>
      </c>
    </row>
    <row r="47" spans="1:26" ht="15.75" customHeight="1">
      <c r="J47" s="40"/>
      <c r="K47" s="40"/>
      <c r="L47" s="40"/>
      <c r="M47" s="40"/>
      <c r="N47" s="40"/>
    </row>
    <row r="48" spans="1:26" ht="15.75" customHeight="1">
      <c r="J48" s="40"/>
      <c r="K48" s="40"/>
      <c r="L48" s="40"/>
      <c r="M48" s="40"/>
      <c r="N48" s="40"/>
    </row>
    <row r="49" spans="10:14" ht="15.75" customHeight="1">
      <c r="J49" s="40"/>
      <c r="K49" s="40"/>
      <c r="L49" s="40"/>
      <c r="M49" s="40"/>
      <c r="N49" s="40"/>
    </row>
    <row r="50" spans="10:14" ht="15.75" customHeight="1">
      <c r="J50" s="40"/>
      <c r="K50" s="40"/>
      <c r="L50" s="40"/>
      <c r="M50" s="40"/>
      <c r="N50" s="40"/>
    </row>
    <row r="51" spans="10:14" ht="15.75" customHeight="1">
      <c r="J51" s="40"/>
      <c r="K51" s="40"/>
      <c r="L51" s="40"/>
      <c r="M51" s="40"/>
      <c r="N51" s="40"/>
    </row>
    <row r="52" spans="10:14" ht="15.75" customHeight="1">
      <c r="J52" s="40"/>
      <c r="K52" s="40"/>
      <c r="L52" s="40"/>
      <c r="M52" s="40"/>
      <c r="N52" s="40"/>
    </row>
    <row r="53" spans="10:14" ht="15.75" customHeight="1">
      <c r="J53" s="40"/>
      <c r="K53" s="40"/>
      <c r="L53" s="40"/>
      <c r="M53" s="40"/>
      <c r="N53" s="40"/>
    </row>
    <row r="54" spans="10:14" ht="15.75" customHeight="1">
      <c r="J54" s="40"/>
      <c r="K54" s="40"/>
      <c r="L54" s="40"/>
      <c r="M54" s="40"/>
      <c r="N54" s="40"/>
    </row>
    <row r="55" spans="10:14" ht="15.75" customHeight="1">
      <c r="J55" s="40"/>
      <c r="K55" s="40"/>
      <c r="L55" s="40"/>
      <c r="M55" s="40"/>
      <c r="N55" s="40"/>
    </row>
    <row r="56" spans="10:14" ht="15.75" customHeight="1">
      <c r="J56" s="40"/>
      <c r="K56" s="40"/>
      <c r="L56" s="40"/>
      <c r="M56" s="40"/>
      <c r="N56" s="40"/>
    </row>
    <row r="57" spans="10:14" ht="15.75" customHeight="1">
      <c r="J57" s="40"/>
      <c r="K57" s="40"/>
      <c r="L57" s="40"/>
      <c r="M57" s="40"/>
      <c r="N57" s="40"/>
    </row>
    <row r="58" spans="10:14" ht="15.75" customHeight="1">
      <c r="J58" s="40"/>
      <c r="K58" s="40"/>
      <c r="L58" s="40"/>
      <c r="M58" s="40"/>
      <c r="N58" s="40"/>
    </row>
    <row r="59" spans="10:14" ht="15.75" customHeight="1">
      <c r="J59" s="40"/>
      <c r="K59" s="40"/>
      <c r="L59" s="40"/>
      <c r="M59" s="40"/>
      <c r="N59" s="40"/>
    </row>
    <row r="60" spans="10:14" ht="15.75" customHeight="1">
      <c r="J60" s="40"/>
      <c r="K60" s="40"/>
      <c r="L60" s="40"/>
      <c r="M60" s="40"/>
      <c r="N60" s="40"/>
    </row>
    <row r="61" spans="10:14" ht="15.75" customHeight="1">
      <c r="J61" s="40"/>
      <c r="K61" s="40"/>
      <c r="L61" s="40"/>
      <c r="M61" s="40"/>
      <c r="N61" s="40"/>
    </row>
    <row r="62" spans="10:14" ht="15.75" customHeight="1">
      <c r="J62" s="40"/>
      <c r="K62" s="40"/>
      <c r="L62" s="40"/>
      <c r="M62" s="40"/>
      <c r="N62" s="40"/>
    </row>
    <row r="63" spans="10:14" ht="15.75" customHeight="1">
      <c r="J63" s="40"/>
      <c r="K63" s="40"/>
      <c r="L63" s="40"/>
      <c r="M63" s="40"/>
      <c r="N63" s="40"/>
    </row>
    <row r="64" spans="10:14" ht="15.75" customHeight="1">
      <c r="J64" s="40"/>
      <c r="K64" s="40"/>
      <c r="L64" s="40"/>
      <c r="M64" s="40"/>
      <c r="N64" s="40"/>
    </row>
    <row r="65" spans="10:14" ht="15.75" customHeight="1">
      <c r="J65" s="40"/>
      <c r="K65" s="40"/>
      <c r="L65" s="40"/>
      <c r="M65" s="40"/>
      <c r="N65" s="40"/>
    </row>
    <row r="66" spans="10:14" ht="15.75" customHeight="1">
      <c r="J66" s="40"/>
      <c r="K66" s="40"/>
      <c r="L66" s="40"/>
      <c r="M66" s="40"/>
      <c r="N66" s="40"/>
    </row>
    <row r="67" spans="10:14" ht="15.75" customHeight="1">
      <c r="J67" s="40"/>
      <c r="K67" s="40"/>
      <c r="L67" s="40"/>
      <c r="M67" s="40"/>
      <c r="N67" s="40"/>
    </row>
    <row r="68" spans="10:14" ht="15.75" customHeight="1">
      <c r="J68" s="40"/>
      <c r="K68" s="40"/>
      <c r="L68" s="40"/>
      <c r="M68" s="40"/>
      <c r="N68" s="40"/>
    </row>
    <row r="69" spans="10:14" ht="15.75" customHeight="1">
      <c r="J69" s="40"/>
      <c r="K69" s="40"/>
      <c r="L69" s="40"/>
      <c r="M69" s="40"/>
      <c r="N69" s="40"/>
    </row>
    <row r="70" spans="10:14" ht="15.75" customHeight="1">
      <c r="J70" s="40"/>
      <c r="K70" s="40"/>
      <c r="L70" s="40"/>
      <c r="M70" s="40"/>
      <c r="N70" s="40"/>
    </row>
    <row r="71" spans="10:14" ht="15.75" customHeight="1">
      <c r="J71" s="40"/>
      <c r="K71" s="40"/>
      <c r="L71" s="40"/>
      <c r="M71" s="40"/>
      <c r="N71" s="40"/>
    </row>
    <row r="72" spans="10:14" ht="15.75" customHeight="1">
      <c r="J72" s="40"/>
      <c r="K72" s="40"/>
      <c r="L72" s="40"/>
      <c r="M72" s="40"/>
      <c r="N72" s="40"/>
    </row>
    <row r="73" spans="10:14" ht="15.75" customHeight="1">
      <c r="J73" s="40"/>
      <c r="K73" s="40"/>
      <c r="L73" s="40"/>
      <c r="M73" s="40"/>
      <c r="N73" s="40"/>
    </row>
    <row r="74" spans="10:14" ht="15.75" customHeight="1">
      <c r="J74" s="40"/>
      <c r="K74" s="40"/>
      <c r="L74" s="40"/>
      <c r="M74" s="40"/>
      <c r="N74" s="40"/>
    </row>
    <row r="75" spans="10:14" ht="15.75" customHeight="1">
      <c r="J75" s="40"/>
      <c r="K75" s="40"/>
      <c r="L75" s="40"/>
      <c r="M75" s="40"/>
      <c r="N75" s="40"/>
    </row>
    <row r="76" spans="10:14" ht="15.75" customHeight="1">
      <c r="J76" s="40"/>
      <c r="K76" s="40"/>
      <c r="L76" s="40"/>
      <c r="M76" s="40"/>
      <c r="N76" s="40"/>
    </row>
    <row r="77" spans="10:14" ht="15.75" customHeight="1">
      <c r="J77" s="40"/>
      <c r="K77" s="40"/>
      <c r="L77" s="40"/>
      <c r="M77" s="40"/>
      <c r="N77" s="40"/>
    </row>
    <row r="78" spans="10:14" ht="15.75" customHeight="1">
      <c r="J78" s="40"/>
      <c r="K78" s="40"/>
      <c r="L78" s="40"/>
      <c r="M78" s="40"/>
      <c r="N78" s="40"/>
    </row>
    <row r="79" spans="10:14" ht="15.75" customHeight="1">
      <c r="J79" s="40"/>
      <c r="K79" s="40"/>
      <c r="L79" s="40"/>
      <c r="M79" s="40"/>
      <c r="N79" s="40"/>
    </row>
    <row r="80" spans="10:14" ht="15.75" customHeight="1">
      <c r="J80" s="40"/>
      <c r="K80" s="40"/>
      <c r="L80" s="40"/>
      <c r="M80" s="40"/>
      <c r="N80" s="40"/>
    </row>
    <row r="81" spans="10:18" ht="15.75" customHeight="1">
      <c r="J81" s="40"/>
      <c r="K81" s="40"/>
      <c r="L81" s="40"/>
      <c r="M81" s="40"/>
      <c r="N81" s="40"/>
    </row>
    <row r="82" spans="10:18" ht="15.75" customHeight="1">
      <c r="J82" s="40"/>
      <c r="K82" s="40"/>
      <c r="L82" s="40"/>
      <c r="M82" s="40"/>
      <c r="N82" s="40"/>
    </row>
    <row r="83" spans="10:18" ht="15.75" customHeight="1">
      <c r="J83" s="40"/>
      <c r="K83" s="40"/>
      <c r="L83" s="40"/>
      <c r="M83" s="40"/>
      <c r="N83" s="40"/>
    </row>
    <row r="84" spans="10:18" ht="15.75" customHeight="1">
      <c r="J84" s="40"/>
      <c r="K84" s="40"/>
      <c r="L84" s="40"/>
      <c r="M84" s="40"/>
      <c r="N84" s="40"/>
      <c r="O84" s="40"/>
      <c r="P84" s="40"/>
      <c r="Q84" s="40"/>
      <c r="R84" s="40"/>
    </row>
    <row r="85" spans="10:18" ht="15.75" customHeight="1">
      <c r="J85" s="40"/>
      <c r="K85" s="40"/>
      <c r="L85" s="40"/>
      <c r="M85" s="40"/>
      <c r="N85" s="40"/>
      <c r="O85" s="40"/>
      <c r="P85" s="40"/>
      <c r="Q85" s="40"/>
      <c r="R85" s="40"/>
    </row>
    <row r="86" spans="10:18" ht="15.75" customHeight="1">
      <c r="J86" s="40"/>
      <c r="K86" s="40"/>
      <c r="L86" s="40"/>
      <c r="M86" s="40"/>
      <c r="N86" s="40"/>
      <c r="O86" s="40"/>
      <c r="P86" s="40"/>
      <c r="Q86" s="40"/>
      <c r="R86" s="40"/>
    </row>
    <row r="87" spans="10:18" ht="15.75" customHeight="1">
      <c r="J87" s="40"/>
      <c r="K87" s="40"/>
      <c r="L87" s="40"/>
      <c r="M87" s="40"/>
      <c r="N87" s="40"/>
      <c r="O87" s="40"/>
      <c r="P87" s="40"/>
      <c r="Q87" s="40"/>
      <c r="R87" s="40"/>
    </row>
    <row r="88" spans="10:18" ht="15.75" customHeight="1">
      <c r="J88" s="40"/>
      <c r="K88" s="40"/>
      <c r="L88" s="40"/>
      <c r="M88" s="40"/>
      <c r="N88" s="40"/>
      <c r="O88" s="40"/>
      <c r="P88" s="40"/>
      <c r="Q88" s="40"/>
      <c r="R88" s="40"/>
    </row>
    <row r="89" spans="10:18" ht="15.75" customHeight="1">
      <c r="J89" s="40"/>
      <c r="K89" s="40"/>
      <c r="L89" s="40"/>
      <c r="M89" s="40"/>
      <c r="N89" s="40"/>
      <c r="O89" s="40"/>
      <c r="P89" s="40"/>
      <c r="Q89" s="40"/>
      <c r="R89" s="40"/>
    </row>
    <row r="90" spans="10:18" ht="15.75" customHeight="1">
      <c r="J90" s="40"/>
      <c r="K90" s="40"/>
      <c r="L90" s="40"/>
      <c r="M90" s="40"/>
      <c r="N90" s="40"/>
      <c r="O90" s="40"/>
      <c r="P90" s="40"/>
      <c r="Q90" s="40"/>
      <c r="R90" s="40"/>
    </row>
    <row r="91" spans="10:18" ht="15.75" customHeight="1">
      <c r="J91" s="40"/>
      <c r="K91" s="40"/>
      <c r="L91" s="40"/>
      <c r="M91" s="40"/>
      <c r="N91" s="40"/>
      <c r="O91" s="40"/>
      <c r="P91" s="40"/>
      <c r="Q91" s="40"/>
      <c r="R91" s="40"/>
    </row>
    <row r="92" spans="10:18" ht="15.75" customHeight="1">
      <c r="J92" s="40"/>
      <c r="K92" s="40"/>
      <c r="L92" s="40"/>
      <c r="M92" s="40"/>
      <c r="N92" s="40"/>
      <c r="O92" s="40"/>
      <c r="P92" s="40"/>
      <c r="Q92" s="40"/>
      <c r="R92" s="40"/>
    </row>
    <row r="93" spans="10:18" ht="15.75" customHeight="1">
      <c r="J93" s="40"/>
      <c r="K93" s="40"/>
      <c r="L93" s="40"/>
      <c r="M93" s="40"/>
      <c r="N93" s="40"/>
      <c r="O93" s="40"/>
      <c r="P93" s="40"/>
      <c r="Q93" s="40"/>
      <c r="R93" s="40"/>
    </row>
    <row r="94" spans="10:18" ht="15.75" customHeight="1">
      <c r="J94" s="40"/>
      <c r="K94" s="40"/>
      <c r="L94" s="40"/>
      <c r="M94" s="40"/>
      <c r="N94" s="40"/>
      <c r="O94" s="40"/>
      <c r="P94" s="40"/>
      <c r="Q94" s="40"/>
      <c r="R94" s="40"/>
    </row>
    <row r="95" spans="10:18" ht="15.75" customHeight="1">
      <c r="J95" s="40"/>
      <c r="K95" s="40"/>
      <c r="L95" s="40"/>
      <c r="M95" s="40"/>
      <c r="N95" s="40"/>
      <c r="O95" s="40"/>
      <c r="P95" s="40"/>
      <c r="Q95" s="40"/>
      <c r="R95" s="40"/>
    </row>
    <row r="96" spans="10:18" ht="15.75" customHeight="1">
      <c r="J96" s="40"/>
      <c r="K96" s="40"/>
      <c r="L96" s="40"/>
      <c r="M96" s="40"/>
      <c r="N96" s="40"/>
      <c r="O96" s="40"/>
      <c r="P96" s="40"/>
      <c r="Q96" s="40"/>
      <c r="R96" s="40"/>
    </row>
    <row r="97" spans="10:18" ht="15.75" customHeight="1">
      <c r="J97" s="40"/>
      <c r="K97" s="40"/>
      <c r="L97" s="40"/>
      <c r="M97" s="40"/>
      <c r="N97" s="40"/>
      <c r="O97" s="40"/>
      <c r="P97" s="40"/>
      <c r="Q97" s="40"/>
      <c r="R97" s="40"/>
    </row>
    <row r="98" spans="10:18" ht="15.75" customHeight="1">
      <c r="J98" s="40"/>
      <c r="K98" s="40"/>
      <c r="L98" s="40"/>
      <c r="M98" s="40"/>
      <c r="N98" s="40"/>
      <c r="O98" s="40"/>
      <c r="P98" s="40"/>
      <c r="Q98" s="40"/>
      <c r="R98" s="40"/>
    </row>
    <row r="99" spans="10:18" ht="15.75" customHeight="1">
      <c r="J99" s="40"/>
      <c r="K99" s="40"/>
      <c r="L99" s="40"/>
      <c r="M99" s="40"/>
      <c r="N99" s="40"/>
      <c r="O99" s="40"/>
      <c r="P99" s="40"/>
      <c r="Q99" s="40"/>
      <c r="R99" s="40"/>
    </row>
    <row r="100" spans="10:18" ht="15.75" customHeight="1">
      <c r="J100" s="40"/>
      <c r="K100" s="40"/>
      <c r="L100" s="40"/>
      <c r="M100" s="40"/>
      <c r="N100" s="40"/>
      <c r="O100" s="40"/>
      <c r="P100" s="40"/>
      <c r="Q100" s="40"/>
      <c r="R100" s="40"/>
    </row>
    <row r="101" spans="10:18" ht="15.75" customHeight="1">
      <c r="J101" s="40"/>
      <c r="K101" s="40"/>
      <c r="L101" s="40"/>
      <c r="M101" s="40"/>
      <c r="N101" s="40"/>
      <c r="O101" s="40"/>
      <c r="P101" s="40"/>
      <c r="Q101" s="40"/>
      <c r="R101" s="40"/>
    </row>
    <row r="102" spans="10:18" ht="15.75" customHeight="1">
      <c r="J102" s="40"/>
      <c r="K102" s="40"/>
      <c r="L102" s="40"/>
      <c r="M102" s="40"/>
      <c r="N102" s="40"/>
      <c r="O102" s="40"/>
      <c r="P102" s="40"/>
      <c r="Q102" s="40"/>
      <c r="R102" s="40"/>
    </row>
    <row r="103" spans="10:18" ht="15.75" customHeight="1">
      <c r="J103" s="40"/>
      <c r="K103" s="40"/>
      <c r="L103" s="40"/>
      <c r="M103" s="40"/>
      <c r="N103" s="40"/>
      <c r="O103" s="40"/>
      <c r="P103" s="40"/>
      <c r="Q103" s="40"/>
      <c r="R103" s="40"/>
    </row>
    <row r="104" spans="10:18" ht="15.75" customHeight="1">
      <c r="J104" s="40"/>
      <c r="K104" s="40"/>
      <c r="L104" s="40"/>
      <c r="M104" s="40"/>
      <c r="N104" s="40"/>
      <c r="O104" s="40"/>
      <c r="P104" s="40"/>
      <c r="Q104" s="40"/>
      <c r="R104" s="40"/>
    </row>
    <row r="105" spans="10:18" ht="15.75" customHeight="1">
      <c r="J105" s="40"/>
      <c r="K105" s="40"/>
      <c r="L105" s="40"/>
      <c r="M105" s="40"/>
      <c r="N105" s="40"/>
      <c r="O105" s="40"/>
      <c r="P105" s="40"/>
      <c r="Q105" s="40"/>
      <c r="R105" s="40"/>
    </row>
    <row r="106" spans="10:18" ht="15.75" customHeight="1">
      <c r="J106" s="40"/>
      <c r="K106" s="40"/>
      <c r="L106" s="40"/>
      <c r="M106" s="40"/>
      <c r="N106" s="40"/>
      <c r="O106" s="40"/>
      <c r="P106" s="40"/>
      <c r="Q106" s="40"/>
      <c r="R106" s="40"/>
    </row>
    <row r="107" spans="10:18" ht="15.75" customHeight="1">
      <c r="J107" s="40"/>
      <c r="K107" s="40"/>
      <c r="L107" s="40"/>
      <c r="M107" s="40"/>
      <c r="N107" s="40"/>
      <c r="O107" s="40"/>
      <c r="P107" s="40"/>
      <c r="Q107" s="40"/>
      <c r="R107" s="40"/>
    </row>
    <row r="108" spans="10:18" ht="15.75" customHeight="1">
      <c r="J108" s="40"/>
      <c r="K108" s="40"/>
      <c r="L108" s="40"/>
      <c r="M108" s="40"/>
      <c r="N108" s="40"/>
      <c r="O108" s="40"/>
      <c r="P108" s="40"/>
      <c r="Q108" s="40"/>
      <c r="R108" s="40"/>
    </row>
    <row r="109" spans="10:18" ht="15.75" customHeight="1">
      <c r="J109" s="40"/>
      <c r="K109" s="40"/>
      <c r="L109" s="40"/>
      <c r="M109" s="40"/>
      <c r="N109" s="40"/>
      <c r="O109" s="40"/>
      <c r="P109" s="40"/>
      <c r="Q109" s="40"/>
      <c r="R109" s="40"/>
    </row>
    <row r="110" spans="10:18" ht="15.75" customHeight="1">
      <c r="J110" s="40"/>
      <c r="K110" s="40"/>
      <c r="L110" s="40"/>
      <c r="M110" s="40"/>
      <c r="N110" s="40"/>
      <c r="O110" s="40"/>
      <c r="P110" s="40"/>
      <c r="Q110" s="40"/>
      <c r="R110" s="40"/>
    </row>
    <row r="111" spans="10:18" ht="15.75" customHeight="1">
      <c r="J111" s="40"/>
      <c r="K111" s="40"/>
      <c r="L111" s="40"/>
      <c r="M111" s="40"/>
      <c r="N111" s="40"/>
      <c r="O111" s="40"/>
      <c r="P111" s="40"/>
      <c r="Q111" s="40"/>
      <c r="R111" s="40"/>
    </row>
    <row r="112" spans="10:18" ht="15.75" customHeight="1">
      <c r="J112" s="40"/>
      <c r="K112" s="40"/>
      <c r="L112" s="40"/>
      <c r="M112" s="40"/>
      <c r="N112" s="40"/>
      <c r="O112" s="40"/>
      <c r="P112" s="40"/>
      <c r="Q112" s="40"/>
      <c r="R112" s="40"/>
    </row>
    <row r="113" spans="10:18" ht="15.75" customHeight="1">
      <c r="J113" s="40"/>
      <c r="K113" s="40"/>
      <c r="L113" s="40"/>
      <c r="M113" s="40"/>
      <c r="N113" s="40"/>
      <c r="O113" s="40"/>
      <c r="P113" s="40"/>
      <c r="Q113" s="40"/>
      <c r="R113" s="40"/>
    </row>
    <row r="114" spans="10:18" ht="15.75" customHeight="1">
      <c r="J114" s="40"/>
      <c r="K114" s="40"/>
      <c r="L114" s="40"/>
      <c r="M114" s="40"/>
      <c r="N114" s="40"/>
      <c r="O114" s="40"/>
      <c r="P114" s="40"/>
      <c r="Q114" s="40"/>
      <c r="R114" s="40"/>
    </row>
    <row r="115" spans="10:18" ht="15.75" customHeight="1">
      <c r="J115" s="40"/>
      <c r="K115" s="40"/>
      <c r="L115" s="40"/>
      <c r="M115" s="40"/>
      <c r="N115" s="40"/>
      <c r="O115" s="40"/>
      <c r="P115" s="40"/>
      <c r="Q115" s="40"/>
      <c r="R115" s="40"/>
    </row>
    <row r="116" spans="10:18" ht="15.75" customHeight="1">
      <c r="J116" s="40"/>
      <c r="K116" s="40"/>
      <c r="L116" s="40"/>
      <c r="M116" s="40"/>
      <c r="N116" s="40"/>
      <c r="O116" s="40"/>
      <c r="P116" s="40"/>
      <c r="Q116" s="40"/>
      <c r="R116" s="40"/>
    </row>
    <row r="117" spans="10:18" ht="15.75" customHeight="1">
      <c r="J117" s="40"/>
      <c r="K117" s="40"/>
      <c r="L117" s="40"/>
      <c r="M117" s="40"/>
      <c r="N117" s="40"/>
      <c r="O117" s="40"/>
      <c r="P117" s="40"/>
      <c r="Q117" s="40"/>
      <c r="R117" s="40"/>
    </row>
    <row r="118" spans="10:18" ht="15.75" customHeight="1">
      <c r="J118" s="40"/>
      <c r="K118" s="40"/>
      <c r="L118" s="40"/>
      <c r="M118" s="40"/>
      <c r="N118" s="40"/>
      <c r="O118" s="40"/>
      <c r="P118" s="40"/>
      <c r="Q118" s="40"/>
      <c r="R118" s="40"/>
    </row>
    <row r="119" spans="10:18" ht="15.75" customHeight="1">
      <c r="J119" s="40"/>
      <c r="K119" s="40"/>
      <c r="L119" s="40"/>
      <c r="M119" s="40"/>
      <c r="N119" s="40"/>
      <c r="O119" s="40"/>
      <c r="P119" s="40"/>
      <c r="Q119" s="40"/>
      <c r="R119" s="40"/>
    </row>
    <row r="120" spans="10:18" ht="15.75" customHeight="1">
      <c r="J120" s="40"/>
      <c r="K120" s="40"/>
      <c r="L120" s="40"/>
      <c r="M120" s="40"/>
      <c r="N120" s="40"/>
      <c r="O120" s="40"/>
      <c r="P120" s="40"/>
      <c r="Q120" s="40"/>
      <c r="R120" s="40"/>
    </row>
    <row r="121" spans="10:18" ht="15.75" customHeight="1">
      <c r="J121" s="40"/>
      <c r="K121" s="40"/>
      <c r="L121" s="40"/>
      <c r="M121" s="40"/>
      <c r="N121" s="40"/>
      <c r="O121" s="40"/>
      <c r="P121" s="40"/>
      <c r="Q121" s="40"/>
      <c r="R121" s="40"/>
    </row>
    <row r="122" spans="10:18" ht="15.75" customHeight="1">
      <c r="J122" s="40"/>
      <c r="K122" s="40"/>
      <c r="L122" s="40"/>
      <c r="M122" s="40"/>
      <c r="N122" s="40"/>
      <c r="O122" s="40"/>
      <c r="P122" s="40"/>
      <c r="Q122" s="40"/>
      <c r="R122" s="40"/>
    </row>
    <row r="123" spans="10:18" ht="15.75" customHeight="1">
      <c r="J123" s="40"/>
      <c r="K123" s="40"/>
      <c r="L123" s="40"/>
      <c r="M123" s="40"/>
      <c r="N123" s="40"/>
      <c r="O123" s="40"/>
      <c r="P123" s="40"/>
      <c r="Q123" s="40"/>
      <c r="R123" s="40"/>
    </row>
    <row r="124" spans="10:18" ht="15.75" customHeight="1">
      <c r="J124" s="40"/>
      <c r="K124" s="40"/>
      <c r="L124" s="40"/>
      <c r="M124" s="40"/>
      <c r="N124" s="40"/>
      <c r="O124" s="40"/>
      <c r="P124" s="40"/>
      <c r="Q124" s="40"/>
      <c r="R124" s="40"/>
    </row>
    <row r="125" spans="10:18" ht="15.75" customHeight="1">
      <c r="J125" s="40"/>
      <c r="K125" s="40"/>
      <c r="L125" s="40"/>
      <c r="M125" s="40"/>
      <c r="N125" s="40"/>
      <c r="O125" s="40"/>
      <c r="P125" s="40"/>
      <c r="Q125" s="40"/>
      <c r="R125" s="40"/>
    </row>
    <row r="126" spans="10:18" ht="15.75" customHeight="1">
      <c r="J126" s="40"/>
      <c r="K126" s="40"/>
      <c r="L126" s="40"/>
      <c r="M126" s="40"/>
      <c r="N126" s="40"/>
      <c r="O126" s="40"/>
      <c r="P126" s="40"/>
      <c r="Q126" s="40"/>
      <c r="R126" s="40"/>
    </row>
    <row r="127" spans="10:18" ht="15.75" customHeight="1">
      <c r="J127" s="40"/>
      <c r="K127" s="40"/>
      <c r="L127" s="40"/>
      <c r="M127" s="40"/>
      <c r="N127" s="40"/>
      <c r="O127" s="40"/>
      <c r="P127" s="40"/>
      <c r="Q127" s="40"/>
      <c r="R127" s="40"/>
    </row>
    <row r="128" spans="10:18" ht="15.75" customHeight="1">
      <c r="J128" s="40"/>
      <c r="K128" s="40"/>
      <c r="L128" s="40"/>
      <c r="M128" s="40"/>
      <c r="N128" s="40"/>
      <c r="O128" s="40"/>
      <c r="P128" s="40"/>
      <c r="Q128" s="40"/>
      <c r="R128" s="40"/>
    </row>
    <row r="129" spans="10:18" ht="15.75" customHeight="1">
      <c r="J129" s="40"/>
      <c r="K129" s="40"/>
      <c r="L129" s="40"/>
      <c r="M129" s="40"/>
      <c r="N129" s="40"/>
      <c r="O129" s="40"/>
      <c r="P129" s="40"/>
      <c r="Q129" s="40"/>
      <c r="R129" s="40"/>
    </row>
    <row r="130" spans="10:18" ht="15.75" customHeight="1">
      <c r="J130" s="40"/>
      <c r="K130" s="40"/>
      <c r="L130" s="40"/>
      <c r="M130" s="40"/>
      <c r="N130" s="40"/>
      <c r="O130" s="40"/>
      <c r="P130" s="40"/>
      <c r="Q130" s="40"/>
      <c r="R130" s="40"/>
    </row>
    <row r="131" spans="10:18" ht="15.75" customHeight="1">
      <c r="J131" s="40"/>
      <c r="K131" s="40"/>
      <c r="L131" s="40"/>
      <c r="M131" s="40"/>
      <c r="N131" s="40"/>
      <c r="O131" s="40"/>
      <c r="P131" s="40"/>
      <c r="Q131" s="40"/>
      <c r="R131" s="40"/>
    </row>
    <row r="132" spans="10:18" ht="15.75" customHeight="1">
      <c r="J132" s="40"/>
      <c r="K132" s="40"/>
      <c r="L132" s="40"/>
      <c r="M132" s="40"/>
      <c r="N132" s="40"/>
      <c r="O132" s="40"/>
      <c r="P132" s="40"/>
      <c r="Q132" s="40"/>
      <c r="R132" s="40"/>
    </row>
    <row r="133" spans="10:18" ht="15.75" customHeight="1">
      <c r="J133" s="40"/>
      <c r="K133" s="40"/>
      <c r="L133" s="40"/>
      <c r="M133" s="40"/>
      <c r="N133" s="40"/>
      <c r="O133" s="40"/>
      <c r="P133" s="40"/>
      <c r="Q133" s="40"/>
      <c r="R133" s="40"/>
    </row>
    <row r="134" spans="10:18" ht="15.75" customHeight="1">
      <c r="J134" s="40"/>
      <c r="K134" s="40"/>
      <c r="L134" s="40"/>
      <c r="M134" s="40"/>
      <c r="N134" s="40"/>
      <c r="O134" s="40"/>
      <c r="P134" s="40"/>
      <c r="Q134" s="40"/>
      <c r="R134" s="40"/>
    </row>
    <row r="135" spans="10:18" ht="15.75" customHeight="1">
      <c r="J135" s="40"/>
      <c r="K135" s="40"/>
      <c r="L135" s="40"/>
      <c r="M135" s="40"/>
      <c r="N135" s="40"/>
      <c r="O135" s="40"/>
      <c r="P135" s="40"/>
      <c r="Q135" s="40"/>
      <c r="R135" s="40"/>
    </row>
    <row r="136" spans="10:18" ht="15.75" customHeight="1">
      <c r="J136" s="40"/>
      <c r="K136" s="40"/>
      <c r="L136" s="40"/>
      <c r="M136" s="40"/>
      <c r="N136" s="40"/>
      <c r="O136" s="40"/>
      <c r="P136" s="40"/>
      <c r="Q136" s="40"/>
      <c r="R136" s="40"/>
    </row>
    <row r="137" spans="10:18" ht="15.75" customHeight="1">
      <c r="J137" s="40"/>
      <c r="K137" s="40"/>
      <c r="L137" s="40"/>
      <c r="M137" s="40"/>
      <c r="N137" s="40"/>
      <c r="O137" s="40"/>
      <c r="P137" s="40"/>
      <c r="Q137" s="40"/>
      <c r="R137" s="40"/>
    </row>
    <row r="138" spans="10:18" ht="15.75" customHeight="1">
      <c r="J138" s="40"/>
      <c r="K138" s="40"/>
      <c r="L138" s="40"/>
      <c r="M138" s="40"/>
      <c r="N138" s="40"/>
      <c r="O138" s="40"/>
      <c r="P138" s="40"/>
      <c r="Q138" s="40"/>
      <c r="R138" s="40"/>
    </row>
    <row r="139" spans="10:18" ht="15.75" customHeight="1">
      <c r="J139" s="40"/>
      <c r="K139" s="40"/>
      <c r="L139" s="40"/>
      <c r="M139" s="40"/>
      <c r="N139" s="40"/>
      <c r="O139" s="40"/>
      <c r="P139" s="40"/>
      <c r="Q139" s="40"/>
      <c r="R139" s="40"/>
    </row>
    <row r="140" spans="10:18" ht="15.75" customHeight="1">
      <c r="J140" s="40"/>
      <c r="K140" s="40"/>
      <c r="L140" s="40"/>
      <c r="M140" s="40"/>
      <c r="N140" s="40"/>
      <c r="O140" s="40"/>
      <c r="P140" s="40"/>
      <c r="Q140" s="40"/>
      <c r="R140" s="40"/>
    </row>
    <row r="141" spans="10:18" ht="15.75" customHeight="1">
      <c r="J141" s="40"/>
      <c r="K141" s="40"/>
      <c r="L141" s="40"/>
      <c r="M141" s="40"/>
      <c r="N141" s="40"/>
      <c r="O141" s="40"/>
      <c r="P141" s="40"/>
      <c r="Q141" s="40"/>
      <c r="R141" s="40"/>
    </row>
    <row r="142" spans="10:18" ht="15.75" customHeight="1">
      <c r="J142" s="40"/>
      <c r="K142" s="40"/>
      <c r="L142" s="40"/>
      <c r="M142" s="40"/>
      <c r="N142" s="40"/>
      <c r="O142" s="40"/>
      <c r="P142" s="40"/>
      <c r="Q142" s="40"/>
      <c r="R142" s="40"/>
    </row>
    <row r="143" spans="10:18" ht="15.75" customHeight="1">
      <c r="J143" s="40"/>
      <c r="K143" s="40"/>
      <c r="L143" s="40"/>
      <c r="M143" s="40"/>
      <c r="N143" s="40"/>
      <c r="O143" s="40"/>
      <c r="P143" s="40"/>
      <c r="Q143" s="40"/>
      <c r="R143" s="40"/>
    </row>
    <row r="144" spans="10:18" ht="15.75" customHeight="1">
      <c r="J144" s="40"/>
      <c r="K144" s="40"/>
      <c r="L144" s="40"/>
      <c r="M144" s="40"/>
      <c r="N144" s="40"/>
      <c r="O144" s="40"/>
      <c r="P144" s="40"/>
      <c r="Q144" s="40"/>
      <c r="R144" s="40"/>
    </row>
    <row r="145" spans="10:18" ht="15.75" customHeight="1">
      <c r="J145" s="40"/>
      <c r="K145" s="40"/>
      <c r="L145" s="40"/>
      <c r="M145" s="40"/>
      <c r="N145" s="40"/>
      <c r="O145" s="40"/>
      <c r="P145" s="40"/>
      <c r="Q145" s="40"/>
      <c r="R145" s="40"/>
    </row>
    <row r="146" spans="10:18" ht="15.75" customHeight="1">
      <c r="J146" s="40"/>
      <c r="K146" s="40"/>
      <c r="L146" s="40"/>
      <c r="M146" s="40"/>
      <c r="N146" s="40"/>
      <c r="O146" s="40"/>
      <c r="P146" s="40"/>
      <c r="Q146" s="40"/>
      <c r="R146" s="40"/>
    </row>
    <row r="147" spans="10:18" ht="15.75" customHeight="1">
      <c r="J147" s="40"/>
      <c r="K147" s="40"/>
      <c r="L147" s="40"/>
      <c r="M147" s="40"/>
      <c r="N147" s="40"/>
      <c r="O147" s="40"/>
      <c r="P147" s="40"/>
      <c r="Q147" s="40"/>
      <c r="R147" s="40"/>
    </row>
    <row r="148" spans="10:18" ht="15.75" customHeight="1">
      <c r="J148" s="40"/>
      <c r="K148" s="40"/>
      <c r="L148" s="40"/>
      <c r="M148" s="40"/>
      <c r="N148" s="40"/>
      <c r="O148" s="40"/>
      <c r="P148" s="40"/>
      <c r="Q148" s="40"/>
      <c r="R148" s="40"/>
    </row>
    <row r="149" spans="10:18" ht="15.75" customHeight="1">
      <c r="J149" s="40"/>
      <c r="K149" s="40"/>
      <c r="L149" s="40"/>
      <c r="M149" s="40"/>
      <c r="N149" s="40"/>
      <c r="O149" s="40"/>
      <c r="P149" s="40"/>
      <c r="Q149" s="40"/>
      <c r="R149" s="40"/>
    </row>
    <row r="150" spans="10:18" ht="15.75" customHeight="1">
      <c r="J150" s="40"/>
      <c r="K150" s="40"/>
      <c r="L150" s="40"/>
      <c r="M150" s="40"/>
      <c r="N150" s="40"/>
      <c r="O150" s="40"/>
      <c r="P150" s="40"/>
      <c r="Q150" s="40"/>
      <c r="R150" s="40"/>
    </row>
    <row r="151" spans="10:18" ht="15.75" customHeight="1">
      <c r="J151" s="40"/>
      <c r="K151" s="40"/>
      <c r="L151" s="40"/>
      <c r="M151" s="40"/>
      <c r="N151" s="40"/>
      <c r="O151" s="40"/>
      <c r="P151" s="40"/>
      <c r="Q151" s="40"/>
      <c r="R151" s="40"/>
    </row>
    <row r="152" spans="10:18" ht="15.75" customHeight="1">
      <c r="J152" s="40"/>
      <c r="K152" s="40"/>
      <c r="L152" s="40"/>
      <c r="M152" s="40"/>
      <c r="N152" s="40"/>
      <c r="O152" s="40"/>
      <c r="P152" s="40"/>
      <c r="Q152" s="40"/>
      <c r="R152" s="40"/>
    </row>
    <row r="153" spans="10:18" ht="15.75" customHeight="1">
      <c r="J153" s="40"/>
      <c r="K153" s="40"/>
      <c r="L153" s="40"/>
      <c r="M153" s="40"/>
      <c r="N153" s="40"/>
      <c r="O153" s="40"/>
      <c r="P153" s="40"/>
      <c r="Q153" s="40"/>
      <c r="R153" s="40"/>
    </row>
    <row r="154" spans="10:18" ht="15.75" customHeight="1">
      <c r="J154" s="40"/>
      <c r="K154" s="40"/>
      <c r="L154" s="40"/>
      <c r="M154" s="40"/>
      <c r="N154" s="40"/>
      <c r="O154" s="40"/>
      <c r="P154" s="40"/>
      <c r="Q154" s="40"/>
      <c r="R154" s="40"/>
    </row>
    <row r="155" spans="10:18" ht="15.75" customHeight="1"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0:18" ht="15.75" customHeight="1"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0:18" ht="15.75" customHeight="1"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0:18" ht="15.75" customHeight="1">
      <c r="J158" s="40"/>
      <c r="K158" s="40"/>
      <c r="L158" s="40"/>
      <c r="M158" s="40"/>
      <c r="N158" s="40"/>
      <c r="O158" s="40"/>
      <c r="P158" s="40"/>
      <c r="Q158" s="40"/>
      <c r="R158" s="40"/>
    </row>
    <row r="159" spans="10:18" ht="15.75" customHeight="1">
      <c r="J159" s="40"/>
      <c r="K159" s="40"/>
      <c r="L159" s="40"/>
      <c r="M159" s="40"/>
      <c r="N159" s="40"/>
      <c r="O159" s="40"/>
      <c r="P159" s="40"/>
      <c r="Q159" s="40"/>
      <c r="R159" s="40"/>
    </row>
    <row r="160" spans="10:18" ht="15.75" customHeight="1">
      <c r="J160" s="40"/>
      <c r="K160" s="40"/>
      <c r="L160" s="40"/>
      <c r="M160" s="40"/>
      <c r="N160" s="40"/>
      <c r="O160" s="40"/>
      <c r="P160" s="40"/>
      <c r="Q160" s="40"/>
      <c r="R160" s="40"/>
    </row>
    <row r="161" spans="10:18" ht="15.75" customHeight="1">
      <c r="J161" s="40"/>
      <c r="K161" s="40"/>
      <c r="L161" s="40"/>
      <c r="M161" s="40"/>
      <c r="N161" s="40"/>
      <c r="O161" s="40"/>
      <c r="P161" s="40"/>
      <c r="Q161" s="40"/>
      <c r="R161" s="40"/>
    </row>
    <row r="162" spans="10:18" ht="15.75" customHeight="1">
      <c r="J162" s="40"/>
      <c r="K162" s="40"/>
      <c r="L162" s="40"/>
      <c r="M162" s="40"/>
      <c r="N162" s="40"/>
      <c r="O162" s="40"/>
      <c r="P162" s="40"/>
      <c r="Q162" s="40"/>
      <c r="R162" s="40"/>
    </row>
    <row r="163" spans="10:18" ht="15.75" customHeight="1">
      <c r="J163" s="40"/>
      <c r="K163" s="40"/>
      <c r="L163" s="40"/>
      <c r="M163" s="40"/>
      <c r="N163" s="40"/>
      <c r="O163" s="40"/>
      <c r="P163" s="40"/>
      <c r="Q163" s="40"/>
      <c r="R163" s="40"/>
    </row>
    <row r="164" spans="10:18" ht="15.75" customHeight="1">
      <c r="J164" s="40"/>
      <c r="K164" s="40"/>
      <c r="L164" s="40"/>
      <c r="M164" s="40"/>
      <c r="N164" s="40"/>
      <c r="O164" s="40"/>
      <c r="P164" s="40"/>
      <c r="Q164" s="40"/>
      <c r="R164" s="40"/>
    </row>
    <row r="165" spans="10:18" ht="15.75" customHeight="1"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0:18" ht="15.75" customHeight="1"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0:18" ht="15.75" customHeight="1"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0:18" ht="15.75" customHeight="1"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0:18" ht="15.75" customHeight="1">
      <c r="J169" s="40"/>
      <c r="K169" s="40"/>
      <c r="L169" s="40"/>
      <c r="M169" s="40"/>
      <c r="N169" s="40"/>
      <c r="O169" s="40"/>
      <c r="P169" s="40"/>
      <c r="Q169" s="40"/>
      <c r="R169" s="40"/>
    </row>
    <row r="170" spans="10:18" ht="15.75" customHeight="1">
      <c r="J170" s="40"/>
      <c r="K170" s="40"/>
      <c r="L170" s="40"/>
      <c r="M170" s="40"/>
      <c r="N170" s="40"/>
      <c r="O170" s="40"/>
      <c r="P170" s="40"/>
      <c r="Q170" s="40"/>
      <c r="R170" s="40"/>
    </row>
    <row r="171" spans="10:18" ht="15.75" customHeight="1">
      <c r="J171" s="40"/>
      <c r="K171" s="40"/>
      <c r="L171" s="40"/>
      <c r="M171" s="40"/>
      <c r="N171" s="40"/>
      <c r="O171" s="40"/>
      <c r="P171" s="40"/>
      <c r="Q171" s="40"/>
      <c r="R171" s="40"/>
    </row>
    <row r="172" spans="10:18" ht="15.75" customHeight="1">
      <c r="J172" s="40"/>
      <c r="K172" s="40"/>
      <c r="L172" s="40"/>
      <c r="M172" s="40"/>
      <c r="N172" s="40"/>
      <c r="O172" s="40"/>
      <c r="P172" s="40"/>
      <c r="Q172" s="40"/>
      <c r="R172" s="40"/>
    </row>
    <row r="173" spans="10:18" ht="15.75" customHeight="1">
      <c r="J173" s="40"/>
      <c r="K173" s="40"/>
      <c r="L173" s="40"/>
      <c r="M173" s="40"/>
      <c r="N173" s="40"/>
      <c r="O173" s="40"/>
      <c r="P173" s="40"/>
      <c r="Q173" s="40"/>
      <c r="R173" s="40"/>
    </row>
    <row r="174" spans="10:18" ht="15.75" customHeight="1">
      <c r="J174" s="40"/>
      <c r="K174" s="40"/>
      <c r="L174" s="40"/>
      <c r="M174" s="40"/>
      <c r="N174" s="40"/>
      <c r="O174" s="40"/>
      <c r="P174" s="40"/>
      <c r="Q174" s="40"/>
      <c r="R174" s="40"/>
    </row>
    <row r="175" spans="10:18" ht="15.75" customHeight="1">
      <c r="J175" s="40"/>
      <c r="K175" s="40"/>
      <c r="L175" s="40"/>
      <c r="M175" s="40"/>
      <c r="N175" s="40"/>
      <c r="O175" s="40"/>
      <c r="P175" s="40"/>
      <c r="Q175" s="40"/>
      <c r="R175" s="40"/>
    </row>
    <row r="176" spans="10:18" ht="15.75" customHeight="1">
      <c r="J176" s="40"/>
      <c r="K176" s="40"/>
      <c r="L176" s="40"/>
      <c r="M176" s="40"/>
      <c r="N176" s="40"/>
      <c r="O176" s="40"/>
      <c r="P176" s="40"/>
      <c r="Q176" s="40"/>
      <c r="R176" s="40"/>
    </row>
    <row r="177" spans="10:18" ht="15.75" customHeight="1">
      <c r="J177" s="40"/>
      <c r="K177" s="40"/>
      <c r="L177" s="40"/>
      <c r="M177" s="40"/>
      <c r="N177" s="40"/>
      <c r="O177" s="40"/>
      <c r="P177" s="40"/>
      <c r="Q177" s="40"/>
      <c r="R177" s="40"/>
    </row>
    <row r="178" spans="10:18" ht="15.75" customHeight="1">
      <c r="J178" s="40"/>
      <c r="K178" s="40"/>
      <c r="L178" s="40"/>
      <c r="M178" s="40"/>
      <c r="N178" s="40"/>
      <c r="O178" s="40"/>
      <c r="P178" s="40"/>
      <c r="Q178" s="40"/>
      <c r="R178" s="40"/>
    </row>
    <row r="179" spans="10:18" ht="15.75" customHeight="1">
      <c r="J179" s="40"/>
      <c r="K179" s="40"/>
      <c r="L179" s="40"/>
      <c r="M179" s="40"/>
      <c r="N179" s="40"/>
      <c r="O179" s="40"/>
      <c r="P179" s="40"/>
      <c r="Q179" s="40"/>
      <c r="R179" s="40"/>
    </row>
    <row r="180" spans="10:18" ht="15.75" customHeight="1">
      <c r="J180" s="40"/>
      <c r="K180" s="40"/>
      <c r="L180" s="40"/>
      <c r="M180" s="40"/>
      <c r="N180" s="40"/>
      <c r="O180" s="40"/>
      <c r="P180" s="40"/>
      <c r="Q180" s="40"/>
      <c r="R180" s="40"/>
    </row>
    <row r="181" spans="10:18" ht="15.75" customHeight="1">
      <c r="J181" s="40"/>
      <c r="K181" s="40"/>
      <c r="L181" s="40"/>
      <c r="M181" s="40"/>
      <c r="N181" s="40"/>
      <c r="O181" s="40"/>
      <c r="P181" s="40"/>
      <c r="Q181" s="40"/>
      <c r="R181" s="40"/>
    </row>
    <row r="182" spans="10:18" ht="15.75" customHeight="1"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0:18" ht="15.75" customHeight="1"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0:18" ht="15.75" customHeight="1"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0:18" ht="15.75" customHeight="1">
      <c r="J185" s="40"/>
      <c r="K185" s="40"/>
      <c r="L185" s="40"/>
      <c r="M185" s="40"/>
      <c r="N185" s="40"/>
      <c r="O185" s="40"/>
      <c r="P185" s="40"/>
      <c r="Q185" s="40"/>
      <c r="R185" s="40"/>
    </row>
    <row r="186" spans="10:18" ht="15.75" customHeight="1">
      <c r="J186" s="40"/>
      <c r="K186" s="40"/>
      <c r="L186" s="40"/>
      <c r="M186" s="40"/>
      <c r="N186" s="40"/>
      <c r="O186" s="40"/>
      <c r="P186" s="40"/>
      <c r="Q186" s="40"/>
      <c r="R186" s="40"/>
    </row>
    <row r="187" spans="10:18" ht="15.75" customHeight="1">
      <c r="J187" s="40"/>
      <c r="K187" s="40"/>
      <c r="L187" s="40"/>
      <c r="M187" s="40"/>
      <c r="N187" s="40"/>
      <c r="O187" s="40"/>
      <c r="P187" s="40"/>
      <c r="Q187" s="40"/>
      <c r="R187" s="40"/>
    </row>
    <row r="188" spans="10:18" ht="15.75" customHeight="1">
      <c r="J188" s="40"/>
      <c r="K188" s="40"/>
      <c r="L188" s="40"/>
      <c r="M188" s="40"/>
      <c r="N188" s="40"/>
      <c r="O188" s="40"/>
      <c r="P188" s="40"/>
      <c r="Q188" s="40"/>
      <c r="R188" s="40"/>
    </row>
    <row r="189" spans="10:18" ht="15.75" customHeight="1">
      <c r="J189" s="40"/>
      <c r="K189" s="40"/>
      <c r="L189" s="40"/>
      <c r="M189" s="40"/>
      <c r="N189" s="40"/>
      <c r="O189" s="40"/>
      <c r="P189" s="40"/>
      <c r="Q189" s="40"/>
      <c r="R189" s="40"/>
    </row>
    <row r="190" spans="10:18" ht="15.75" customHeight="1">
      <c r="J190" s="40"/>
      <c r="K190" s="40"/>
      <c r="L190" s="40"/>
      <c r="M190" s="40"/>
      <c r="N190" s="40"/>
      <c r="O190" s="40"/>
      <c r="P190" s="40"/>
      <c r="Q190" s="40"/>
      <c r="R190" s="40"/>
    </row>
    <row r="191" spans="10:18" ht="15.75" customHeight="1">
      <c r="J191" s="40"/>
      <c r="K191" s="40"/>
      <c r="L191" s="40"/>
      <c r="M191" s="40"/>
      <c r="N191" s="40"/>
      <c r="O191" s="40"/>
      <c r="P191" s="40"/>
      <c r="Q191" s="40"/>
      <c r="R191" s="40"/>
    </row>
    <row r="192" spans="10:18" ht="15.75" customHeight="1">
      <c r="J192" s="40"/>
      <c r="K192" s="40"/>
      <c r="L192" s="40"/>
      <c r="M192" s="40"/>
      <c r="N192" s="40"/>
      <c r="O192" s="40"/>
      <c r="P192" s="40"/>
      <c r="Q192" s="40"/>
      <c r="R192" s="40"/>
    </row>
    <row r="193" spans="10:18" ht="15.75" customHeight="1">
      <c r="J193" s="40"/>
      <c r="K193" s="40"/>
      <c r="L193" s="40"/>
      <c r="M193" s="40"/>
      <c r="N193" s="40"/>
      <c r="O193" s="40"/>
      <c r="P193" s="40"/>
      <c r="Q193" s="40"/>
      <c r="R193" s="40"/>
    </row>
    <row r="194" spans="10:18" ht="15.75" customHeight="1">
      <c r="J194" s="40"/>
      <c r="K194" s="40"/>
      <c r="L194" s="40"/>
      <c r="M194" s="40"/>
      <c r="N194" s="40"/>
      <c r="O194" s="40"/>
      <c r="P194" s="40"/>
      <c r="Q194" s="40"/>
      <c r="R194" s="40"/>
    </row>
    <row r="195" spans="10:18" ht="15.75" customHeight="1">
      <c r="J195" s="40"/>
      <c r="K195" s="40"/>
      <c r="L195" s="40"/>
      <c r="M195" s="40"/>
      <c r="N195" s="40"/>
      <c r="O195" s="40"/>
      <c r="P195" s="40"/>
      <c r="Q195" s="40"/>
      <c r="R195" s="40"/>
    </row>
    <row r="196" spans="10:18" ht="15.75" customHeight="1">
      <c r="J196" s="40"/>
      <c r="K196" s="40"/>
      <c r="L196" s="40"/>
      <c r="M196" s="40"/>
      <c r="N196" s="40"/>
      <c r="O196" s="40"/>
      <c r="P196" s="40"/>
      <c r="Q196" s="40"/>
      <c r="R196" s="40"/>
    </row>
    <row r="197" spans="10:18" ht="15.75" customHeight="1"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0:18" ht="15.75" customHeight="1"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0:18" ht="15.75" customHeight="1"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0:18" ht="15.75" customHeight="1">
      <c r="J200" s="40"/>
      <c r="K200" s="40"/>
      <c r="L200" s="40"/>
      <c r="M200" s="40"/>
      <c r="N200" s="40"/>
      <c r="O200" s="40"/>
      <c r="P200" s="40"/>
      <c r="Q200" s="40"/>
      <c r="R200" s="40"/>
    </row>
    <row r="201" spans="10:18" ht="15.75" customHeight="1">
      <c r="J201" s="40"/>
      <c r="K201" s="40"/>
      <c r="L201" s="40"/>
      <c r="M201" s="40"/>
      <c r="N201" s="40"/>
      <c r="O201" s="40"/>
      <c r="P201" s="40"/>
      <c r="Q201" s="40"/>
      <c r="R201" s="40"/>
    </row>
    <row r="202" spans="10:18" ht="15.75" customHeight="1"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0:18" ht="15.75" customHeight="1"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0:18" ht="15.75" customHeight="1"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0:18" ht="15.75" customHeight="1">
      <c r="J205" s="40"/>
      <c r="K205" s="40"/>
      <c r="L205" s="40"/>
      <c r="M205" s="40"/>
      <c r="N205" s="40"/>
      <c r="O205" s="40"/>
      <c r="P205" s="40"/>
      <c r="Q205" s="40"/>
      <c r="R205" s="40"/>
    </row>
    <row r="206" spans="10:18" ht="15.75" customHeight="1">
      <c r="J206" s="40"/>
      <c r="K206" s="40"/>
      <c r="L206" s="40"/>
      <c r="M206" s="40"/>
      <c r="N206" s="40"/>
      <c r="O206" s="40"/>
      <c r="P206" s="40"/>
      <c r="Q206" s="40"/>
      <c r="R206" s="40"/>
    </row>
    <row r="207" spans="10:18" ht="15.75" customHeight="1">
      <c r="J207" s="40"/>
      <c r="K207" s="40"/>
      <c r="L207" s="40"/>
      <c r="M207" s="40"/>
      <c r="N207" s="40"/>
      <c r="O207" s="40"/>
      <c r="P207" s="40"/>
      <c r="Q207" s="40"/>
      <c r="R207" s="40"/>
    </row>
    <row r="208" spans="10:18" ht="15.75" customHeight="1">
      <c r="J208" s="40"/>
      <c r="K208" s="40"/>
      <c r="L208" s="40"/>
      <c r="M208" s="40"/>
      <c r="N208" s="40"/>
      <c r="O208" s="40"/>
      <c r="P208" s="40"/>
      <c r="Q208" s="40"/>
      <c r="R208" s="40"/>
    </row>
    <row r="209" spans="10:18" ht="15.75" customHeight="1">
      <c r="J209" s="40"/>
      <c r="K209" s="40"/>
      <c r="L209" s="40"/>
      <c r="M209" s="40"/>
      <c r="N209" s="40"/>
      <c r="O209" s="40"/>
      <c r="P209" s="40"/>
      <c r="Q209" s="40"/>
      <c r="R209" s="40"/>
    </row>
    <row r="210" spans="10:18" ht="15.75" customHeight="1">
      <c r="J210" s="40"/>
      <c r="K210" s="40"/>
      <c r="L210" s="40"/>
      <c r="M210" s="40"/>
      <c r="N210" s="40"/>
      <c r="O210" s="40"/>
      <c r="P210" s="40"/>
      <c r="Q210" s="40"/>
      <c r="R210" s="40"/>
    </row>
    <row r="211" spans="10:18" ht="15.75" customHeight="1">
      <c r="J211" s="40"/>
      <c r="K211" s="40"/>
      <c r="L211" s="40"/>
      <c r="M211" s="40"/>
      <c r="N211" s="40"/>
      <c r="O211" s="40"/>
      <c r="P211" s="40"/>
      <c r="Q211" s="40"/>
      <c r="R211" s="40"/>
    </row>
    <row r="212" spans="10:18" ht="15.75" customHeight="1">
      <c r="J212" s="40"/>
      <c r="K212" s="40"/>
      <c r="L212" s="40"/>
      <c r="M212" s="40"/>
      <c r="N212" s="40"/>
      <c r="O212" s="40"/>
      <c r="P212" s="40"/>
      <c r="Q212" s="40"/>
      <c r="R212" s="40"/>
    </row>
    <row r="213" spans="10:18" ht="15.75" customHeight="1">
      <c r="J213" s="40"/>
      <c r="K213" s="40"/>
      <c r="L213" s="40"/>
      <c r="M213" s="40"/>
      <c r="N213" s="40"/>
      <c r="O213" s="40"/>
      <c r="P213" s="40"/>
      <c r="Q213" s="40"/>
      <c r="R213" s="40"/>
    </row>
    <row r="214" spans="10:18" ht="15.75" customHeight="1">
      <c r="J214" s="40"/>
      <c r="K214" s="40"/>
      <c r="L214" s="40"/>
      <c r="M214" s="40"/>
      <c r="N214" s="40"/>
      <c r="O214" s="40"/>
      <c r="P214" s="40"/>
      <c r="Q214" s="40"/>
      <c r="R214" s="40"/>
    </row>
    <row r="215" spans="10:18" ht="15.75" customHeight="1">
      <c r="J215" s="40"/>
      <c r="K215" s="40"/>
      <c r="L215" s="40"/>
      <c r="M215" s="40"/>
      <c r="N215" s="40"/>
      <c r="O215" s="40"/>
      <c r="P215" s="40"/>
      <c r="Q215" s="40"/>
      <c r="R215" s="40"/>
    </row>
    <row r="216" spans="10:18" ht="15.75" customHeight="1">
      <c r="J216" s="40"/>
      <c r="K216" s="40"/>
      <c r="L216" s="40"/>
      <c r="M216" s="40"/>
      <c r="N216" s="40"/>
      <c r="O216" s="40"/>
      <c r="P216" s="40"/>
      <c r="Q216" s="40"/>
      <c r="R216" s="40"/>
    </row>
    <row r="217" spans="10:18" ht="15.75" customHeight="1">
      <c r="J217" s="40"/>
      <c r="K217" s="40"/>
      <c r="L217" s="40"/>
      <c r="M217" s="40"/>
      <c r="N217" s="40"/>
      <c r="O217" s="40"/>
      <c r="P217" s="40"/>
      <c r="Q217" s="40"/>
      <c r="R217" s="40"/>
    </row>
    <row r="218" spans="10:18" ht="15.75" customHeight="1">
      <c r="J218" s="40"/>
      <c r="K218" s="40"/>
      <c r="L218" s="40"/>
      <c r="M218" s="40"/>
      <c r="N218" s="40"/>
      <c r="O218" s="40"/>
      <c r="P218" s="40"/>
      <c r="Q218" s="40"/>
      <c r="R218" s="40"/>
    </row>
    <row r="219" spans="10:18" ht="15.75" customHeight="1">
      <c r="J219" s="40"/>
      <c r="K219" s="40"/>
      <c r="L219" s="40"/>
      <c r="M219" s="40"/>
      <c r="N219" s="40"/>
      <c r="O219" s="40"/>
      <c r="P219" s="40"/>
      <c r="Q219" s="40"/>
      <c r="R219" s="40"/>
    </row>
    <row r="220" spans="10:18" ht="15.75" customHeight="1">
      <c r="J220" s="40"/>
      <c r="K220" s="40"/>
      <c r="L220" s="40"/>
      <c r="M220" s="40"/>
      <c r="N220" s="40"/>
      <c r="O220" s="40"/>
      <c r="P220" s="40"/>
      <c r="Q220" s="40"/>
      <c r="R220" s="40"/>
    </row>
    <row r="221" spans="10:18" ht="15.75" customHeight="1">
      <c r="J221" s="40"/>
      <c r="K221" s="40"/>
      <c r="L221" s="40"/>
      <c r="M221" s="40"/>
      <c r="N221" s="40"/>
      <c r="O221" s="40"/>
      <c r="P221" s="40"/>
      <c r="Q221" s="40"/>
      <c r="R221" s="40"/>
    </row>
    <row r="222" spans="10:18" ht="15.75" customHeight="1">
      <c r="J222" s="40"/>
      <c r="K222" s="40"/>
      <c r="L222" s="40"/>
      <c r="M222" s="40"/>
      <c r="N222" s="40"/>
      <c r="O222" s="40"/>
      <c r="P222" s="40"/>
      <c r="Q222" s="40"/>
      <c r="R222" s="40"/>
    </row>
    <row r="223" spans="10:18" ht="15.75" customHeight="1">
      <c r="J223" s="40"/>
      <c r="K223" s="40"/>
      <c r="L223" s="40"/>
      <c r="M223" s="40"/>
      <c r="N223" s="40"/>
      <c r="O223" s="40"/>
      <c r="P223" s="40"/>
      <c r="Q223" s="40"/>
      <c r="R223" s="40"/>
    </row>
    <row r="224" spans="10:18" ht="15.75" customHeight="1">
      <c r="J224" s="40"/>
      <c r="K224" s="40"/>
      <c r="L224" s="40"/>
      <c r="M224" s="40"/>
      <c r="N224" s="40"/>
      <c r="O224" s="40"/>
      <c r="P224" s="40"/>
      <c r="Q224" s="40"/>
      <c r="R224" s="40"/>
    </row>
    <row r="225" spans="10:18" ht="15.75" customHeight="1">
      <c r="J225" s="40"/>
      <c r="K225" s="40"/>
      <c r="L225" s="40"/>
      <c r="M225" s="40"/>
      <c r="N225" s="40"/>
      <c r="O225" s="40"/>
      <c r="P225" s="40"/>
      <c r="Q225" s="40"/>
      <c r="R225" s="40"/>
    </row>
    <row r="226" spans="10:18" ht="15.75" customHeight="1">
      <c r="J226" s="40"/>
      <c r="K226" s="40"/>
      <c r="L226" s="40"/>
      <c r="M226" s="40"/>
      <c r="N226" s="40"/>
      <c r="O226" s="40"/>
      <c r="P226" s="40"/>
      <c r="Q226" s="40"/>
      <c r="R226" s="40"/>
    </row>
    <row r="227" spans="10:18" ht="15.75" customHeight="1">
      <c r="J227" s="40"/>
      <c r="K227" s="40"/>
      <c r="L227" s="40"/>
      <c r="M227" s="40"/>
      <c r="N227" s="40"/>
      <c r="O227" s="40"/>
      <c r="P227" s="40"/>
      <c r="Q227" s="40"/>
      <c r="R227" s="40"/>
    </row>
    <row r="228" spans="10:18" ht="15.75" customHeight="1">
      <c r="J228" s="40"/>
      <c r="K228" s="40"/>
      <c r="L228" s="40"/>
      <c r="M228" s="40"/>
      <c r="N228" s="40"/>
      <c r="O228" s="40"/>
      <c r="P228" s="40"/>
      <c r="Q228" s="40"/>
      <c r="R228" s="40"/>
    </row>
    <row r="229" spans="10:18" ht="15.75" customHeight="1">
      <c r="J229" s="40"/>
      <c r="K229" s="40"/>
      <c r="L229" s="40"/>
      <c r="M229" s="40"/>
      <c r="N229" s="40"/>
      <c r="O229" s="40"/>
      <c r="P229" s="40"/>
      <c r="Q229" s="40"/>
      <c r="R229" s="40"/>
    </row>
    <row r="230" spans="10:18" ht="15.75" customHeight="1">
      <c r="J230" s="40"/>
      <c r="K230" s="40"/>
      <c r="L230" s="40"/>
      <c r="M230" s="40"/>
      <c r="N230" s="40"/>
      <c r="O230" s="40"/>
      <c r="P230" s="40"/>
      <c r="Q230" s="40"/>
      <c r="R230" s="40"/>
    </row>
    <row r="231" spans="10:18" ht="15.75" customHeight="1">
      <c r="J231" s="40"/>
      <c r="K231" s="40"/>
      <c r="L231" s="40"/>
      <c r="M231" s="40"/>
      <c r="N231" s="40"/>
      <c r="O231" s="40"/>
      <c r="P231" s="40"/>
      <c r="Q231" s="40"/>
      <c r="R231" s="40"/>
    </row>
    <row r="232" spans="10:18" ht="15.75" customHeight="1">
      <c r="J232" s="40"/>
      <c r="K232" s="40"/>
      <c r="L232" s="40"/>
      <c r="M232" s="40"/>
      <c r="N232" s="40"/>
      <c r="O232" s="40"/>
      <c r="P232" s="40"/>
      <c r="Q232" s="40"/>
      <c r="R232" s="40"/>
    </row>
    <row r="233" spans="10:18" ht="15.75" customHeight="1">
      <c r="J233" s="40"/>
      <c r="K233" s="40"/>
      <c r="L233" s="40"/>
      <c r="M233" s="40"/>
      <c r="N233" s="40"/>
      <c r="O233" s="40"/>
      <c r="P233" s="40"/>
      <c r="Q233" s="40"/>
      <c r="R233" s="40"/>
    </row>
    <row r="234" spans="10:18" ht="15.75" customHeight="1">
      <c r="J234" s="40"/>
      <c r="K234" s="40"/>
      <c r="L234" s="40"/>
      <c r="M234" s="40"/>
      <c r="N234" s="40"/>
      <c r="O234" s="40"/>
      <c r="P234" s="40"/>
      <c r="Q234" s="40"/>
      <c r="R234" s="40"/>
    </row>
    <row r="235" spans="10:18" ht="15.75" customHeight="1">
      <c r="J235" s="40"/>
      <c r="K235" s="40"/>
      <c r="L235" s="40"/>
      <c r="M235" s="40"/>
      <c r="N235" s="40"/>
      <c r="O235" s="40"/>
      <c r="P235" s="40"/>
      <c r="Q235" s="40"/>
      <c r="R235" s="40"/>
    </row>
    <row r="236" spans="10:18" ht="15.75" customHeight="1">
      <c r="J236" s="40"/>
      <c r="K236" s="40"/>
      <c r="L236" s="40"/>
      <c r="M236" s="40"/>
      <c r="N236" s="40"/>
      <c r="O236" s="40"/>
      <c r="P236" s="40"/>
      <c r="Q236" s="40"/>
      <c r="R236" s="40"/>
    </row>
    <row r="237" spans="10:18" ht="15.75" customHeight="1">
      <c r="J237" s="40"/>
      <c r="K237" s="40"/>
      <c r="L237" s="40"/>
      <c r="M237" s="40"/>
      <c r="N237" s="40"/>
      <c r="O237" s="40"/>
      <c r="P237" s="40"/>
      <c r="Q237" s="40"/>
      <c r="R237" s="40"/>
    </row>
    <row r="238" spans="10:18" ht="15.75" customHeight="1">
      <c r="J238" s="40"/>
      <c r="K238" s="40"/>
      <c r="L238" s="40"/>
      <c r="M238" s="40"/>
      <c r="N238" s="40"/>
      <c r="O238" s="40"/>
      <c r="P238" s="40"/>
      <c r="Q238" s="40"/>
      <c r="R238" s="40"/>
    </row>
    <row r="239" spans="10:18" ht="15.75" customHeight="1">
      <c r="J239" s="40"/>
      <c r="K239" s="40"/>
      <c r="L239" s="40"/>
      <c r="M239" s="40"/>
      <c r="N239" s="40"/>
      <c r="O239" s="40"/>
      <c r="P239" s="40"/>
      <c r="Q239" s="40"/>
      <c r="R239" s="40"/>
    </row>
    <row r="240" spans="10:18" ht="15.75" customHeight="1">
      <c r="J240" s="40"/>
      <c r="K240" s="40"/>
      <c r="L240" s="40"/>
      <c r="M240" s="40"/>
      <c r="N240" s="40"/>
      <c r="O240" s="40"/>
      <c r="P240" s="40"/>
      <c r="Q240" s="40"/>
      <c r="R240" s="40"/>
    </row>
    <row r="241" spans="10:18" ht="15.75" customHeight="1">
      <c r="J241" s="40"/>
      <c r="K241" s="40"/>
      <c r="L241" s="40"/>
      <c r="M241" s="40"/>
      <c r="N241" s="40"/>
      <c r="O241" s="40"/>
      <c r="P241" s="40"/>
      <c r="Q241" s="40"/>
      <c r="R241" s="40"/>
    </row>
    <row r="242" spans="10:18" ht="15.75" customHeight="1">
      <c r="J242" s="40"/>
      <c r="K242" s="40"/>
      <c r="L242" s="40"/>
      <c r="M242" s="40"/>
      <c r="N242" s="40"/>
      <c r="O242" s="40"/>
      <c r="P242" s="40"/>
      <c r="Q242" s="40"/>
      <c r="R242" s="40"/>
    </row>
    <row r="243" spans="10:18" ht="15.75" customHeight="1">
      <c r="J243" s="40"/>
      <c r="K243" s="40"/>
      <c r="L243" s="40"/>
      <c r="M243" s="40"/>
      <c r="N243" s="40"/>
      <c r="O243" s="40"/>
      <c r="P243" s="40"/>
      <c r="Q243" s="40"/>
      <c r="R243" s="40"/>
    </row>
    <row r="244" spans="10:18" ht="15.75" customHeight="1">
      <c r="J244" s="40"/>
      <c r="K244" s="40"/>
      <c r="L244" s="40"/>
      <c r="M244" s="40"/>
      <c r="N244" s="40"/>
      <c r="O244" s="40"/>
      <c r="P244" s="40"/>
      <c r="Q244" s="40"/>
      <c r="R244" s="40"/>
    </row>
    <row r="245" spans="10:18" ht="15.75" customHeight="1">
      <c r="J245" s="40"/>
      <c r="K245" s="40"/>
      <c r="L245" s="40"/>
      <c r="M245" s="40"/>
      <c r="N245" s="40"/>
      <c r="O245" s="40"/>
      <c r="P245" s="40"/>
      <c r="Q245" s="40"/>
      <c r="R245" s="40"/>
    </row>
    <row r="246" spans="10:18" ht="15.75" customHeight="1">
      <c r="J246" s="40"/>
      <c r="K246" s="40"/>
      <c r="L246" s="40"/>
      <c r="M246" s="40"/>
      <c r="N246" s="40"/>
      <c r="O246" s="40"/>
      <c r="P246" s="40"/>
      <c r="Q246" s="40"/>
      <c r="R246" s="40"/>
    </row>
    <row r="247" spans="10:18" ht="15.75" customHeight="1">
      <c r="J247" s="40"/>
      <c r="K247" s="40"/>
      <c r="L247" s="40"/>
      <c r="M247" s="40"/>
      <c r="N247" s="40"/>
      <c r="O247" s="40"/>
      <c r="P247" s="40"/>
      <c r="Q247" s="40"/>
      <c r="R247" s="40"/>
    </row>
    <row r="248" spans="10:18" ht="15.75" customHeight="1">
      <c r="J248" s="40"/>
      <c r="K248" s="40"/>
      <c r="L248" s="40"/>
      <c r="M248" s="40"/>
      <c r="N248" s="40"/>
      <c r="O248" s="40"/>
      <c r="P248" s="40"/>
      <c r="Q248" s="40"/>
      <c r="R248" s="40"/>
    </row>
    <row r="249" spans="10:18" ht="15.75" customHeight="1">
      <c r="J249" s="40"/>
      <c r="K249" s="40"/>
      <c r="L249" s="40"/>
      <c r="M249" s="40"/>
      <c r="N249" s="40"/>
      <c r="O249" s="40"/>
      <c r="P249" s="40"/>
      <c r="Q249" s="40"/>
      <c r="R249" s="40"/>
    </row>
    <row r="250" spans="10:18" ht="15.75" customHeight="1">
      <c r="J250" s="40"/>
      <c r="K250" s="40"/>
      <c r="L250" s="40"/>
      <c r="M250" s="40"/>
      <c r="N250" s="40"/>
      <c r="O250" s="40"/>
      <c r="P250" s="40"/>
      <c r="Q250" s="40"/>
      <c r="R250" s="40"/>
    </row>
    <row r="251" spans="10:18" ht="15.75" customHeight="1">
      <c r="J251" s="40"/>
      <c r="K251" s="40"/>
      <c r="L251" s="40"/>
      <c r="M251" s="40"/>
      <c r="N251" s="40"/>
      <c r="O251" s="40"/>
      <c r="P251" s="40"/>
      <c r="Q251" s="40"/>
      <c r="R251" s="40"/>
    </row>
    <row r="252" spans="10:18" ht="15.75" customHeight="1">
      <c r="J252" s="40"/>
      <c r="K252" s="40"/>
      <c r="L252" s="40"/>
      <c r="M252" s="40"/>
      <c r="N252" s="40"/>
      <c r="O252" s="40"/>
      <c r="P252" s="40"/>
      <c r="Q252" s="40"/>
      <c r="R252" s="40"/>
    </row>
    <row r="253" spans="10:18" ht="15.75" customHeight="1">
      <c r="J253" s="40"/>
      <c r="K253" s="40"/>
      <c r="L253" s="40"/>
      <c r="M253" s="40"/>
      <c r="N253" s="40"/>
      <c r="O253" s="40"/>
      <c r="P253" s="40"/>
      <c r="Q253" s="40"/>
      <c r="R253" s="40"/>
    </row>
    <row r="254" spans="10:18" ht="15.75" customHeight="1">
      <c r="J254" s="40"/>
      <c r="K254" s="40"/>
      <c r="L254" s="40"/>
      <c r="M254" s="40"/>
      <c r="N254" s="40"/>
      <c r="O254" s="40"/>
      <c r="P254" s="40"/>
      <c r="Q254" s="40"/>
      <c r="R254" s="40"/>
    </row>
    <row r="255" spans="10:18" ht="15.75" customHeight="1">
      <c r="J255" s="40"/>
      <c r="K255" s="40"/>
      <c r="L255" s="40"/>
      <c r="M255" s="40"/>
      <c r="N255" s="40"/>
      <c r="O255" s="40"/>
      <c r="P255" s="40"/>
      <c r="Q255" s="40"/>
      <c r="R255" s="40"/>
    </row>
    <row r="256" spans="10:18" ht="15.75" customHeight="1">
      <c r="J256" s="40"/>
      <c r="K256" s="40"/>
      <c r="L256" s="40"/>
      <c r="M256" s="40"/>
      <c r="N256" s="40"/>
      <c r="O256" s="40"/>
      <c r="P256" s="40"/>
      <c r="Q256" s="40"/>
      <c r="R256" s="40"/>
    </row>
    <row r="257" spans="10:18" ht="15.75" customHeight="1">
      <c r="J257" s="40"/>
      <c r="K257" s="40"/>
      <c r="L257" s="40"/>
      <c r="M257" s="40"/>
      <c r="N257" s="40"/>
      <c r="O257" s="40"/>
      <c r="P257" s="40"/>
      <c r="Q257" s="40"/>
      <c r="R257" s="40"/>
    </row>
    <row r="258" spans="10:18" ht="15.75" customHeight="1">
      <c r="J258" s="40"/>
      <c r="K258" s="40"/>
      <c r="L258" s="40"/>
      <c r="M258" s="40"/>
      <c r="N258" s="40"/>
      <c r="O258" s="40"/>
      <c r="P258" s="40"/>
      <c r="Q258" s="40"/>
      <c r="R258" s="40"/>
    </row>
    <row r="259" spans="10:18" ht="15.75" customHeight="1">
      <c r="J259" s="40"/>
      <c r="K259" s="40"/>
      <c r="L259" s="40"/>
      <c r="M259" s="40"/>
      <c r="N259" s="40"/>
      <c r="O259" s="40"/>
      <c r="P259" s="40"/>
      <c r="Q259" s="40"/>
      <c r="R259" s="40"/>
    </row>
    <row r="260" spans="10:18" ht="15.75" customHeight="1">
      <c r="J260" s="40"/>
      <c r="K260" s="40"/>
      <c r="L260" s="40"/>
      <c r="M260" s="40"/>
      <c r="N260" s="40"/>
      <c r="O260" s="40"/>
      <c r="P260" s="40"/>
      <c r="Q260" s="40"/>
      <c r="R260" s="40"/>
    </row>
    <row r="261" spans="10:18" ht="15.75" customHeight="1">
      <c r="J261" s="40"/>
      <c r="K261" s="40"/>
      <c r="L261" s="40"/>
      <c r="M261" s="40"/>
      <c r="N261" s="40"/>
      <c r="O261" s="40"/>
      <c r="P261" s="40"/>
      <c r="Q261" s="40"/>
      <c r="R261" s="40"/>
    </row>
    <row r="262" spans="10:18" ht="15.75" customHeight="1">
      <c r="J262" s="40"/>
      <c r="K262" s="40"/>
      <c r="L262" s="40"/>
      <c r="M262" s="40"/>
      <c r="N262" s="40"/>
      <c r="O262" s="40"/>
      <c r="P262" s="40"/>
      <c r="Q262" s="40"/>
      <c r="R262" s="40"/>
    </row>
    <row r="263" spans="10:18" ht="15.75" customHeight="1">
      <c r="J263" s="40"/>
      <c r="K263" s="40"/>
      <c r="L263" s="40"/>
      <c r="M263" s="40"/>
      <c r="N263" s="40"/>
      <c r="O263" s="40"/>
      <c r="P263" s="40"/>
      <c r="Q263" s="40"/>
      <c r="R263" s="40"/>
    </row>
    <row r="264" spans="10:18" ht="15.75" customHeight="1">
      <c r="J264" s="40"/>
      <c r="K264" s="40"/>
      <c r="L264" s="40"/>
      <c r="M264" s="40"/>
      <c r="N264" s="40"/>
      <c r="O264" s="40"/>
      <c r="P264" s="40"/>
      <c r="Q264" s="40"/>
      <c r="R264" s="40"/>
    </row>
    <row r="265" spans="10:18" ht="15.75" customHeight="1">
      <c r="J265" s="40"/>
      <c r="K265" s="40"/>
      <c r="L265" s="40"/>
      <c r="M265" s="40"/>
      <c r="N265" s="40"/>
      <c r="O265" s="40"/>
      <c r="P265" s="40"/>
      <c r="Q265" s="40"/>
      <c r="R265" s="40"/>
    </row>
    <row r="266" spans="10:18" ht="15.75" customHeight="1">
      <c r="J266" s="40"/>
      <c r="K266" s="40"/>
      <c r="L266" s="40"/>
      <c r="M266" s="40"/>
      <c r="N266" s="40"/>
      <c r="O266" s="40"/>
      <c r="P266" s="40"/>
      <c r="Q266" s="40"/>
      <c r="R266" s="40"/>
    </row>
    <row r="267" spans="10:18" ht="15.75" customHeight="1">
      <c r="J267" s="40"/>
      <c r="K267" s="40"/>
      <c r="L267" s="40"/>
      <c r="M267" s="40"/>
      <c r="N267" s="40"/>
      <c r="O267" s="40"/>
      <c r="P267" s="40"/>
      <c r="Q267" s="40"/>
      <c r="R267" s="40"/>
    </row>
    <row r="268" spans="10:18" ht="15.75" customHeight="1">
      <c r="J268" s="40"/>
      <c r="K268" s="40"/>
      <c r="L268" s="40"/>
      <c r="M268" s="40"/>
      <c r="N268" s="40"/>
      <c r="O268" s="40"/>
      <c r="P268" s="40"/>
      <c r="Q268" s="40"/>
      <c r="R268" s="40"/>
    </row>
    <row r="269" spans="10:18" ht="15.75" customHeight="1">
      <c r="J269" s="40"/>
      <c r="K269" s="40"/>
      <c r="L269" s="40"/>
      <c r="M269" s="40"/>
      <c r="N269" s="40"/>
      <c r="O269" s="40"/>
      <c r="P269" s="40"/>
      <c r="Q269" s="40"/>
      <c r="R269" s="40"/>
    </row>
    <row r="270" spans="10:18" ht="15.75" customHeight="1">
      <c r="J270" s="40"/>
      <c r="K270" s="40"/>
      <c r="L270" s="40"/>
      <c r="M270" s="40"/>
      <c r="N270" s="40"/>
      <c r="O270" s="40"/>
      <c r="P270" s="40"/>
      <c r="Q270" s="40"/>
      <c r="R270" s="40"/>
    </row>
    <row r="271" spans="10:18" ht="15.75" customHeight="1">
      <c r="J271" s="40"/>
      <c r="K271" s="40"/>
      <c r="L271" s="40"/>
      <c r="M271" s="40"/>
      <c r="N271" s="40"/>
      <c r="O271" s="40"/>
      <c r="P271" s="40"/>
      <c r="Q271" s="40"/>
      <c r="R271" s="40"/>
    </row>
    <row r="272" spans="10:18" ht="15.75" customHeight="1">
      <c r="J272" s="40"/>
      <c r="K272" s="40"/>
      <c r="L272" s="40"/>
      <c r="M272" s="40"/>
      <c r="N272" s="40"/>
      <c r="O272" s="40"/>
      <c r="P272" s="40"/>
      <c r="Q272" s="40"/>
      <c r="R272" s="40"/>
    </row>
    <row r="273" spans="10:18" ht="15.75" customHeight="1">
      <c r="J273" s="40"/>
      <c r="K273" s="40"/>
      <c r="L273" s="40"/>
      <c r="M273" s="40"/>
      <c r="N273" s="40"/>
      <c r="O273" s="40"/>
      <c r="P273" s="40"/>
      <c r="Q273" s="40"/>
      <c r="R273" s="40"/>
    </row>
    <row r="274" spans="10:18" ht="15.75" customHeight="1">
      <c r="J274" s="40"/>
      <c r="K274" s="40"/>
      <c r="L274" s="40"/>
      <c r="M274" s="40"/>
      <c r="N274" s="40"/>
      <c r="O274" s="40"/>
      <c r="P274" s="40"/>
      <c r="Q274" s="40"/>
      <c r="R274" s="40"/>
    </row>
    <row r="275" spans="10:18" ht="15.75" customHeight="1">
      <c r="J275" s="40"/>
      <c r="K275" s="40"/>
      <c r="L275" s="40"/>
      <c r="M275" s="40"/>
      <c r="N275" s="40"/>
      <c r="O275" s="40"/>
      <c r="P275" s="40"/>
      <c r="Q275" s="40"/>
      <c r="R275" s="40"/>
    </row>
    <row r="276" spans="10:18" ht="15.75" customHeight="1">
      <c r="J276" s="40"/>
      <c r="K276" s="40"/>
      <c r="L276" s="40"/>
      <c r="M276" s="40"/>
      <c r="N276" s="40"/>
      <c r="O276" s="40"/>
      <c r="P276" s="40"/>
      <c r="Q276" s="40"/>
      <c r="R276" s="40"/>
    </row>
    <row r="277" spans="10:18" ht="15.75" customHeight="1">
      <c r="J277" s="40"/>
      <c r="K277" s="40"/>
      <c r="L277" s="40"/>
      <c r="M277" s="40"/>
      <c r="N277" s="40"/>
      <c r="O277" s="40"/>
      <c r="P277" s="40"/>
      <c r="Q277" s="40"/>
      <c r="R277" s="40"/>
    </row>
    <row r="278" spans="10:18" ht="15.75" customHeight="1">
      <c r="J278" s="40"/>
      <c r="K278" s="40"/>
      <c r="L278" s="40"/>
      <c r="M278" s="40"/>
      <c r="N278" s="40"/>
      <c r="O278" s="40"/>
      <c r="P278" s="40"/>
      <c r="Q278" s="40"/>
      <c r="R278" s="40"/>
    </row>
    <row r="279" spans="10:18" ht="15.75" customHeight="1">
      <c r="J279" s="40"/>
      <c r="K279" s="40"/>
      <c r="L279" s="40"/>
      <c r="M279" s="40"/>
      <c r="N279" s="40"/>
      <c r="O279" s="40"/>
      <c r="P279" s="40"/>
      <c r="Q279" s="40"/>
      <c r="R279" s="40"/>
    </row>
    <row r="280" spans="10:18" ht="15.75" customHeight="1">
      <c r="J280" s="40"/>
      <c r="K280" s="40"/>
      <c r="L280" s="40"/>
      <c r="M280" s="40"/>
      <c r="N280" s="40"/>
      <c r="O280" s="40"/>
      <c r="P280" s="40"/>
      <c r="Q280" s="40"/>
      <c r="R280" s="40"/>
    </row>
    <row r="281" spans="10:18" ht="15.75" customHeight="1">
      <c r="J281" s="40"/>
      <c r="K281" s="40"/>
      <c r="L281" s="40"/>
      <c r="M281" s="40"/>
      <c r="N281" s="40"/>
      <c r="O281" s="40"/>
      <c r="P281" s="40"/>
      <c r="Q281" s="40"/>
      <c r="R281" s="40"/>
    </row>
    <row r="282" spans="10:18" ht="15.75" customHeight="1">
      <c r="J282" s="40"/>
      <c r="K282" s="40"/>
      <c r="L282" s="40"/>
      <c r="M282" s="40"/>
      <c r="N282" s="40"/>
      <c r="O282" s="40"/>
      <c r="P282" s="40"/>
      <c r="Q282" s="40"/>
      <c r="R282" s="40"/>
    </row>
    <row r="283" spans="10:18" ht="15.75" customHeight="1">
      <c r="J283" s="40"/>
      <c r="K283" s="40"/>
      <c r="L283" s="40"/>
      <c r="M283" s="40"/>
      <c r="N283" s="40"/>
      <c r="O283" s="40"/>
      <c r="P283" s="40"/>
      <c r="Q283" s="40"/>
      <c r="R283" s="40"/>
    </row>
    <row r="284" spans="10:18" ht="15.75" customHeight="1">
      <c r="J284" s="40"/>
      <c r="K284" s="40"/>
      <c r="L284" s="40"/>
      <c r="M284" s="40"/>
      <c r="N284" s="40"/>
      <c r="O284" s="40"/>
      <c r="P284" s="40"/>
      <c r="Q284" s="40"/>
      <c r="R284" s="40"/>
    </row>
    <row r="285" spans="10:18" ht="15.75" customHeight="1">
      <c r="J285" s="40"/>
      <c r="K285" s="40"/>
      <c r="L285" s="40"/>
      <c r="M285" s="40"/>
      <c r="N285" s="40"/>
      <c r="O285" s="40"/>
      <c r="P285" s="40"/>
      <c r="Q285" s="40"/>
      <c r="R285" s="40"/>
    </row>
    <row r="286" spans="10:18" ht="15.75" customHeight="1">
      <c r="J286" s="40"/>
      <c r="K286" s="40"/>
      <c r="L286" s="40"/>
      <c r="M286" s="40"/>
      <c r="N286" s="40"/>
      <c r="O286" s="40"/>
      <c r="P286" s="40"/>
      <c r="Q286" s="40"/>
      <c r="R286" s="40"/>
    </row>
    <row r="287" spans="10:18" ht="15.75" customHeight="1">
      <c r="J287" s="40"/>
      <c r="K287" s="40"/>
      <c r="L287" s="40"/>
      <c r="M287" s="40"/>
      <c r="N287" s="40"/>
      <c r="O287" s="40"/>
      <c r="P287" s="40"/>
      <c r="Q287" s="40"/>
      <c r="R287" s="40"/>
    </row>
    <row r="288" spans="10:18" ht="15.75" customHeight="1">
      <c r="J288" s="40"/>
      <c r="K288" s="40"/>
      <c r="L288" s="40"/>
      <c r="M288" s="40"/>
      <c r="N288" s="40"/>
      <c r="O288" s="40"/>
      <c r="P288" s="40"/>
      <c r="Q288" s="40"/>
      <c r="R288" s="40"/>
    </row>
    <row r="289" spans="10:18" ht="15.75" customHeight="1">
      <c r="J289" s="40"/>
      <c r="K289" s="40"/>
      <c r="L289" s="40"/>
      <c r="M289" s="40"/>
      <c r="N289" s="40"/>
      <c r="O289" s="40"/>
      <c r="P289" s="40"/>
      <c r="Q289" s="40"/>
      <c r="R289" s="40"/>
    </row>
    <row r="290" spans="10:18" ht="15.75" customHeight="1">
      <c r="J290" s="40"/>
      <c r="K290" s="40"/>
      <c r="L290" s="40"/>
      <c r="M290" s="40"/>
      <c r="N290" s="40"/>
      <c r="O290" s="40"/>
      <c r="P290" s="40"/>
      <c r="Q290" s="40"/>
      <c r="R290" s="40"/>
    </row>
    <row r="291" spans="10:18" ht="15.75" customHeight="1">
      <c r="J291" s="40"/>
      <c r="K291" s="40"/>
      <c r="L291" s="40"/>
      <c r="M291" s="40"/>
      <c r="N291" s="40"/>
      <c r="O291" s="40"/>
      <c r="P291" s="40"/>
      <c r="Q291" s="40"/>
      <c r="R291" s="40"/>
    </row>
    <row r="292" spans="10:18" ht="15.75" customHeight="1">
      <c r="J292" s="40"/>
      <c r="K292" s="40"/>
      <c r="L292" s="40"/>
      <c r="M292" s="40"/>
      <c r="N292" s="40"/>
      <c r="O292" s="40"/>
      <c r="P292" s="40"/>
      <c r="Q292" s="40"/>
      <c r="R292" s="40"/>
    </row>
    <row r="293" spans="10:18" ht="15.75" customHeight="1">
      <c r="J293" s="40"/>
      <c r="K293" s="40"/>
      <c r="L293" s="40"/>
      <c r="M293" s="40"/>
      <c r="N293" s="40"/>
      <c r="O293" s="40"/>
      <c r="P293" s="40"/>
      <c r="Q293" s="40"/>
      <c r="R293" s="40"/>
    </row>
    <row r="294" spans="10:18" ht="15.75" customHeight="1">
      <c r="J294" s="40"/>
      <c r="K294" s="40"/>
      <c r="L294" s="40"/>
      <c r="M294" s="40"/>
      <c r="N294" s="40"/>
      <c r="O294" s="40"/>
      <c r="P294" s="40"/>
      <c r="Q294" s="40"/>
      <c r="R294" s="40"/>
    </row>
    <row r="295" spans="10:18" ht="15.75" customHeight="1">
      <c r="J295" s="40"/>
      <c r="K295" s="40"/>
      <c r="L295" s="40"/>
      <c r="M295" s="40"/>
      <c r="N295" s="40"/>
      <c r="O295" s="40"/>
      <c r="P295" s="40"/>
      <c r="Q295" s="40"/>
      <c r="R295" s="40"/>
    </row>
    <row r="296" spans="10:18" ht="15.75" customHeight="1">
      <c r="J296" s="40"/>
      <c r="K296" s="40"/>
      <c r="L296" s="40"/>
      <c r="M296" s="40"/>
      <c r="N296" s="40"/>
      <c r="O296" s="40"/>
      <c r="P296" s="40"/>
      <c r="Q296" s="40"/>
      <c r="R296" s="40"/>
    </row>
    <row r="297" spans="10:18" ht="15.75" customHeight="1">
      <c r="J297" s="40"/>
      <c r="K297" s="40"/>
      <c r="L297" s="40"/>
      <c r="M297" s="40"/>
      <c r="N297" s="40"/>
      <c r="O297" s="40"/>
      <c r="P297" s="40"/>
      <c r="Q297" s="40"/>
      <c r="R297" s="40"/>
    </row>
    <row r="298" spans="10:18" ht="15.75" customHeight="1">
      <c r="J298" s="40"/>
      <c r="K298" s="40"/>
      <c r="L298" s="40"/>
      <c r="M298" s="40"/>
      <c r="N298" s="40"/>
      <c r="O298" s="40"/>
      <c r="P298" s="40"/>
      <c r="Q298" s="40"/>
      <c r="R298" s="40"/>
    </row>
    <row r="299" spans="10:18" ht="15.75" customHeight="1">
      <c r="J299" s="40"/>
      <c r="K299" s="40"/>
      <c r="L299" s="40"/>
      <c r="M299" s="40"/>
      <c r="N299" s="40"/>
      <c r="O299" s="40"/>
      <c r="P299" s="40"/>
      <c r="Q299" s="40"/>
      <c r="R299" s="40"/>
    </row>
    <row r="300" spans="10:18" ht="15.75" customHeight="1">
      <c r="J300" s="40"/>
      <c r="K300" s="40"/>
      <c r="L300" s="40"/>
      <c r="M300" s="40"/>
      <c r="N300" s="40"/>
      <c r="O300" s="40"/>
      <c r="P300" s="40"/>
      <c r="Q300" s="40"/>
      <c r="R300" s="40"/>
    </row>
    <row r="301" spans="10:18" ht="15.75" customHeight="1">
      <c r="J301" s="40"/>
      <c r="K301" s="40"/>
      <c r="L301" s="40"/>
      <c r="M301" s="40"/>
      <c r="N301" s="40"/>
      <c r="O301" s="40"/>
      <c r="P301" s="40"/>
      <c r="Q301" s="40"/>
      <c r="R301" s="40"/>
    </row>
    <row r="302" spans="10:18" ht="15.75" customHeight="1">
      <c r="J302" s="40"/>
      <c r="K302" s="40"/>
      <c r="L302" s="40"/>
      <c r="M302" s="40"/>
      <c r="N302" s="40"/>
      <c r="O302" s="40"/>
      <c r="P302" s="40"/>
      <c r="Q302" s="40"/>
      <c r="R302" s="40"/>
    </row>
    <row r="303" spans="10:18" ht="15.75" customHeight="1">
      <c r="J303" s="40"/>
      <c r="K303" s="40"/>
      <c r="L303" s="40"/>
      <c r="M303" s="40"/>
      <c r="N303" s="40"/>
      <c r="O303" s="40"/>
      <c r="P303" s="40"/>
      <c r="Q303" s="40"/>
      <c r="R303" s="40"/>
    </row>
    <row r="304" spans="10:18" ht="15.75" customHeight="1">
      <c r="J304" s="40"/>
      <c r="K304" s="40"/>
      <c r="L304" s="40"/>
      <c r="M304" s="40"/>
      <c r="N304" s="40"/>
      <c r="O304" s="40"/>
      <c r="P304" s="40"/>
      <c r="Q304" s="40"/>
      <c r="R304" s="40"/>
    </row>
    <row r="305" spans="10:18" ht="15.75" customHeight="1">
      <c r="J305" s="40"/>
      <c r="K305" s="40"/>
      <c r="L305" s="40"/>
      <c r="M305" s="40"/>
      <c r="N305" s="40"/>
      <c r="O305" s="40"/>
      <c r="P305" s="40"/>
      <c r="Q305" s="40"/>
      <c r="R305" s="40"/>
    </row>
    <row r="306" spans="10:18" ht="15.75" customHeight="1">
      <c r="J306" s="40"/>
      <c r="K306" s="40"/>
      <c r="L306" s="40"/>
      <c r="M306" s="40"/>
      <c r="N306" s="40"/>
      <c r="O306" s="40"/>
      <c r="P306" s="40"/>
      <c r="Q306" s="40"/>
      <c r="R306" s="40"/>
    </row>
    <row r="307" spans="10:18" ht="15.75" customHeight="1">
      <c r="J307" s="40"/>
      <c r="K307" s="40"/>
      <c r="L307" s="40"/>
      <c r="M307" s="40"/>
      <c r="N307" s="40"/>
      <c r="O307" s="40"/>
      <c r="P307" s="40"/>
      <c r="Q307" s="40"/>
      <c r="R307" s="40"/>
    </row>
    <row r="308" spans="10:18" ht="15.75" customHeight="1">
      <c r="J308" s="40"/>
      <c r="K308" s="40"/>
      <c r="L308" s="40"/>
      <c r="M308" s="40"/>
      <c r="N308" s="40"/>
      <c r="O308" s="40"/>
      <c r="P308" s="40"/>
      <c r="Q308" s="40"/>
      <c r="R308" s="40"/>
    </row>
    <row r="309" spans="10:18" ht="15.75" customHeight="1">
      <c r="J309" s="40"/>
      <c r="K309" s="40"/>
      <c r="L309" s="40"/>
      <c r="M309" s="40"/>
      <c r="N309" s="40"/>
      <c r="O309" s="40"/>
      <c r="P309" s="40"/>
      <c r="Q309" s="40"/>
      <c r="R309" s="40"/>
    </row>
    <row r="310" spans="10:18" ht="15.75" customHeight="1">
      <c r="J310" s="40"/>
      <c r="K310" s="40"/>
      <c r="L310" s="40"/>
      <c r="M310" s="40"/>
      <c r="N310" s="40"/>
      <c r="O310" s="40"/>
      <c r="P310" s="40"/>
      <c r="Q310" s="40"/>
      <c r="R310" s="40"/>
    </row>
    <row r="311" spans="10:18" ht="15.75" customHeight="1">
      <c r="J311" s="40"/>
      <c r="K311" s="40"/>
      <c r="L311" s="40"/>
      <c r="M311" s="40"/>
      <c r="N311" s="40"/>
      <c r="O311" s="40"/>
      <c r="P311" s="40"/>
      <c r="Q311" s="40"/>
      <c r="R311" s="40"/>
    </row>
    <row r="312" spans="10:18" ht="15.75" customHeight="1">
      <c r="J312" s="40"/>
      <c r="K312" s="40"/>
      <c r="L312" s="40"/>
      <c r="M312" s="40"/>
      <c r="N312" s="40"/>
      <c r="O312" s="40"/>
      <c r="P312" s="40"/>
      <c r="Q312" s="40"/>
      <c r="R312" s="40"/>
    </row>
    <row r="313" spans="10:18" ht="15.75" customHeight="1">
      <c r="J313" s="40"/>
      <c r="K313" s="40"/>
      <c r="L313" s="40"/>
      <c r="M313" s="40"/>
      <c r="N313" s="40"/>
      <c r="O313" s="40"/>
      <c r="P313" s="40"/>
      <c r="Q313" s="40"/>
      <c r="R313" s="40"/>
    </row>
    <row r="314" spans="10:18" ht="15.75" customHeight="1">
      <c r="J314" s="40"/>
      <c r="K314" s="40"/>
      <c r="L314" s="40"/>
      <c r="M314" s="40"/>
      <c r="N314" s="40"/>
      <c r="O314" s="40"/>
      <c r="P314" s="40"/>
      <c r="Q314" s="40"/>
      <c r="R314" s="40"/>
    </row>
    <row r="315" spans="10:18" ht="15.75" customHeight="1">
      <c r="J315" s="40"/>
      <c r="K315" s="40"/>
      <c r="L315" s="40"/>
      <c r="M315" s="40"/>
      <c r="N315" s="40"/>
      <c r="O315" s="40"/>
      <c r="P315" s="40"/>
      <c r="Q315" s="40"/>
      <c r="R315" s="40"/>
    </row>
    <row r="316" spans="10:18" ht="15.75" customHeight="1">
      <c r="J316" s="40"/>
      <c r="K316" s="40"/>
      <c r="L316" s="40"/>
      <c r="M316" s="40"/>
      <c r="N316" s="40"/>
      <c r="O316" s="40"/>
      <c r="P316" s="40"/>
      <c r="Q316" s="40"/>
      <c r="R316" s="40"/>
    </row>
    <row r="317" spans="10:18" ht="15.75" customHeight="1">
      <c r="J317" s="40"/>
      <c r="K317" s="40"/>
      <c r="L317" s="40"/>
      <c r="M317" s="40"/>
      <c r="N317" s="40"/>
      <c r="O317" s="40"/>
      <c r="P317" s="40"/>
      <c r="Q317" s="40"/>
      <c r="R317" s="40"/>
    </row>
    <row r="318" spans="10:18" ht="15.75" customHeight="1">
      <c r="J318" s="40"/>
      <c r="K318" s="40"/>
      <c r="L318" s="40"/>
      <c r="M318" s="40"/>
      <c r="N318" s="40"/>
      <c r="O318" s="40"/>
      <c r="P318" s="40"/>
      <c r="Q318" s="40"/>
      <c r="R318" s="40"/>
    </row>
    <row r="319" spans="10:18" ht="15.75" customHeight="1">
      <c r="J319" s="40"/>
      <c r="K319" s="40"/>
      <c r="L319" s="40"/>
      <c r="M319" s="40"/>
      <c r="N319" s="40"/>
      <c r="O319" s="40"/>
      <c r="P319" s="40"/>
      <c r="Q319" s="40"/>
      <c r="R319" s="40"/>
    </row>
    <row r="320" spans="10:18" ht="15.75" customHeight="1">
      <c r="J320" s="40"/>
      <c r="K320" s="40"/>
      <c r="L320" s="40"/>
      <c r="M320" s="40"/>
      <c r="N320" s="40"/>
      <c r="O320" s="40"/>
      <c r="P320" s="40"/>
      <c r="Q320" s="40"/>
      <c r="R320" s="40"/>
    </row>
    <row r="321" spans="10:18" ht="15.75" customHeight="1">
      <c r="J321" s="40"/>
      <c r="K321" s="40"/>
      <c r="L321" s="40"/>
      <c r="M321" s="40"/>
      <c r="N321" s="40"/>
      <c r="O321" s="40"/>
      <c r="P321" s="40"/>
      <c r="Q321" s="40"/>
      <c r="R321" s="40"/>
    </row>
    <row r="322" spans="10:18" ht="15.75" customHeight="1">
      <c r="J322" s="40"/>
      <c r="K322" s="40"/>
      <c r="L322" s="40"/>
      <c r="M322" s="40"/>
      <c r="N322" s="40"/>
      <c r="O322" s="40"/>
      <c r="P322" s="40"/>
      <c r="Q322" s="40"/>
      <c r="R322" s="40"/>
    </row>
    <row r="323" spans="10:18" ht="15.75" customHeight="1">
      <c r="J323" s="40"/>
      <c r="K323" s="40"/>
      <c r="L323" s="40"/>
      <c r="M323" s="40"/>
      <c r="N323" s="40"/>
      <c r="O323" s="40"/>
      <c r="P323" s="40"/>
      <c r="Q323" s="40"/>
      <c r="R323" s="40"/>
    </row>
    <row r="324" spans="10:18" ht="15.75" customHeight="1">
      <c r="J324" s="40"/>
      <c r="K324" s="40"/>
      <c r="L324" s="40"/>
      <c r="M324" s="40"/>
      <c r="N324" s="40"/>
      <c r="O324" s="40"/>
      <c r="P324" s="40"/>
      <c r="Q324" s="40"/>
      <c r="R324" s="40"/>
    </row>
    <row r="325" spans="10:18" ht="15.75" customHeight="1">
      <c r="J325" s="40"/>
      <c r="K325" s="40"/>
      <c r="L325" s="40"/>
      <c r="M325" s="40"/>
      <c r="N325" s="40"/>
      <c r="O325" s="40"/>
      <c r="P325" s="40"/>
      <c r="Q325" s="40"/>
      <c r="R325" s="40"/>
    </row>
    <row r="326" spans="10:18" ht="15.75" customHeight="1">
      <c r="J326" s="40"/>
      <c r="K326" s="40"/>
      <c r="L326" s="40"/>
      <c r="M326" s="40"/>
      <c r="N326" s="40"/>
      <c r="O326" s="40"/>
      <c r="P326" s="40"/>
      <c r="Q326" s="40"/>
      <c r="R326" s="40"/>
    </row>
    <row r="327" spans="10:18" ht="15.75" customHeight="1">
      <c r="J327" s="40"/>
      <c r="K327" s="40"/>
      <c r="L327" s="40"/>
      <c r="M327" s="40"/>
      <c r="N327" s="40"/>
      <c r="O327" s="40"/>
      <c r="P327" s="40"/>
      <c r="Q327" s="40"/>
      <c r="R327" s="40"/>
    </row>
    <row r="328" spans="10:18" ht="15.75" customHeight="1">
      <c r="J328" s="40"/>
      <c r="K328" s="40"/>
      <c r="L328" s="40"/>
      <c r="M328" s="40"/>
      <c r="N328" s="40"/>
      <c r="O328" s="40"/>
      <c r="P328" s="40"/>
      <c r="Q328" s="40"/>
      <c r="R328" s="40"/>
    </row>
    <row r="329" spans="10:18" ht="15.75" customHeight="1">
      <c r="J329" s="40"/>
      <c r="K329" s="40"/>
      <c r="L329" s="40"/>
      <c r="M329" s="40"/>
      <c r="N329" s="40"/>
      <c r="O329" s="40"/>
      <c r="P329" s="40"/>
      <c r="Q329" s="40"/>
      <c r="R329" s="40"/>
    </row>
    <row r="330" spans="10:18" ht="15.75" customHeight="1">
      <c r="J330" s="40"/>
      <c r="K330" s="40"/>
      <c r="L330" s="40"/>
      <c r="M330" s="40"/>
      <c r="N330" s="40"/>
      <c r="O330" s="40"/>
      <c r="P330" s="40"/>
      <c r="Q330" s="40"/>
      <c r="R330" s="40"/>
    </row>
    <row r="331" spans="10:18" ht="15.75" customHeight="1">
      <c r="J331" s="40"/>
      <c r="K331" s="40"/>
      <c r="L331" s="40"/>
      <c r="M331" s="40"/>
      <c r="N331" s="40"/>
      <c r="O331" s="40"/>
      <c r="P331" s="40"/>
      <c r="Q331" s="40"/>
      <c r="R331" s="40"/>
    </row>
    <row r="332" spans="10:18" ht="15.75" customHeight="1">
      <c r="J332" s="40"/>
      <c r="K332" s="40"/>
      <c r="L332" s="40"/>
      <c r="M332" s="40"/>
      <c r="N332" s="40"/>
      <c r="O332" s="40"/>
      <c r="P332" s="40"/>
      <c r="Q332" s="40"/>
      <c r="R332" s="40"/>
    </row>
    <row r="333" spans="10:18" ht="15.75" customHeight="1">
      <c r="J333" s="40"/>
      <c r="K333" s="40"/>
      <c r="L333" s="40"/>
      <c r="M333" s="40"/>
      <c r="N333" s="40"/>
      <c r="O333" s="40"/>
      <c r="P333" s="40"/>
      <c r="Q333" s="40"/>
      <c r="R333" s="40"/>
    </row>
    <row r="334" spans="10:18" ht="15.75" customHeight="1">
      <c r="J334" s="40"/>
      <c r="K334" s="40"/>
      <c r="L334" s="40"/>
      <c r="M334" s="40"/>
      <c r="N334" s="40"/>
      <c r="O334" s="40"/>
      <c r="P334" s="40"/>
      <c r="Q334" s="40"/>
      <c r="R334" s="40"/>
    </row>
    <row r="335" spans="10:18" ht="15.75" customHeight="1">
      <c r="J335" s="40"/>
      <c r="K335" s="40"/>
      <c r="L335" s="40"/>
      <c r="M335" s="40"/>
      <c r="N335" s="40"/>
      <c r="O335" s="40"/>
      <c r="P335" s="40"/>
      <c r="Q335" s="40"/>
      <c r="R335" s="40"/>
    </row>
    <row r="336" spans="10:18" ht="15.75" customHeight="1">
      <c r="J336" s="40"/>
      <c r="K336" s="40"/>
      <c r="L336" s="40"/>
      <c r="M336" s="40"/>
      <c r="N336" s="40"/>
      <c r="O336" s="40"/>
      <c r="P336" s="40"/>
      <c r="Q336" s="40"/>
      <c r="R336" s="40"/>
    </row>
    <row r="337" spans="10:18" ht="15.75" customHeight="1">
      <c r="J337" s="40"/>
      <c r="K337" s="40"/>
      <c r="L337" s="40"/>
      <c r="M337" s="40"/>
      <c r="N337" s="40"/>
      <c r="O337" s="40"/>
      <c r="P337" s="40"/>
      <c r="Q337" s="40"/>
      <c r="R337" s="40"/>
    </row>
    <row r="338" spans="10:18" ht="15.75" customHeight="1">
      <c r="J338" s="40"/>
      <c r="K338" s="40"/>
      <c r="L338" s="40"/>
      <c r="M338" s="40"/>
      <c r="N338" s="40"/>
      <c r="O338" s="40"/>
      <c r="P338" s="40"/>
      <c r="Q338" s="40"/>
      <c r="R338" s="40"/>
    </row>
    <row r="339" spans="10:18" ht="15.75" customHeight="1">
      <c r="J339" s="40"/>
      <c r="K339" s="40"/>
      <c r="L339" s="40"/>
      <c r="M339" s="40"/>
      <c r="N339" s="40"/>
      <c r="O339" s="40"/>
      <c r="P339" s="40"/>
      <c r="Q339" s="40"/>
      <c r="R339" s="40"/>
    </row>
    <row r="340" spans="10:18" ht="15.75" customHeight="1">
      <c r="J340" s="40"/>
      <c r="K340" s="40"/>
      <c r="L340" s="40"/>
      <c r="M340" s="40"/>
      <c r="N340" s="40"/>
      <c r="O340" s="40"/>
      <c r="P340" s="40"/>
      <c r="Q340" s="40"/>
      <c r="R340" s="40"/>
    </row>
    <row r="341" spans="10:18" ht="15.75" customHeight="1">
      <c r="J341" s="40"/>
      <c r="K341" s="40"/>
      <c r="L341" s="40"/>
      <c r="M341" s="40"/>
      <c r="N341" s="40"/>
      <c r="O341" s="40"/>
      <c r="P341" s="40"/>
      <c r="Q341" s="40"/>
      <c r="R341" s="40"/>
    </row>
    <row r="342" spans="10:18" ht="15.75" customHeight="1">
      <c r="J342" s="40"/>
      <c r="K342" s="40"/>
      <c r="L342" s="40"/>
      <c r="M342" s="40"/>
      <c r="N342" s="40"/>
      <c r="O342" s="40"/>
      <c r="P342" s="40"/>
      <c r="Q342" s="40"/>
      <c r="R342" s="40"/>
    </row>
    <row r="343" spans="10:18" ht="15.75" customHeight="1">
      <c r="J343" s="40"/>
      <c r="K343" s="40"/>
      <c r="L343" s="40"/>
      <c r="M343" s="40"/>
      <c r="N343" s="40"/>
      <c r="O343" s="40"/>
      <c r="P343" s="40"/>
      <c r="Q343" s="40"/>
      <c r="R343" s="40"/>
    </row>
    <row r="344" spans="10:18" ht="15.75" customHeight="1">
      <c r="J344" s="40"/>
      <c r="K344" s="40"/>
      <c r="L344" s="40"/>
      <c r="M344" s="40"/>
      <c r="N344" s="40"/>
      <c r="O344" s="40"/>
      <c r="P344" s="40"/>
      <c r="Q344" s="40"/>
      <c r="R344" s="40"/>
    </row>
    <row r="345" spans="10:18" ht="15.75" customHeight="1">
      <c r="J345" s="40"/>
      <c r="K345" s="40"/>
      <c r="L345" s="40"/>
      <c r="M345" s="40"/>
      <c r="N345" s="40"/>
      <c r="O345" s="40"/>
      <c r="P345" s="40"/>
      <c r="Q345" s="40"/>
      <c r="R345" s="40"/>
    </row>
    <row r="346" spans="10:18" ht="15.75" customHeight="1">
      <c r="J346" s="40"/>
      <c r="K346" s="40"/>
      <c r="L346" s="40"/>
      <c r="M346" s="40"/>
      <c r="N346" s="40"/>
      <c r="O346" s="40"/>
      <c r="P346" s="40"/>
      <c r="Q346" s="40"/>
      <c r="R346" s="40"/>
    </row>
    <row r="347" spans="10:18" ht="15.75" customHeight="1">
      <c r="J347" s="40"/>
      <c r="K347" s="40"/>
      <c r="L347" s="40"/>
      <c r="M347" s="40"/>
      <c r="N347" s="40"/>
      <c r="O347" s="40"/>
      <c r="P347" s="40"/>
      <c r="Q347" s="40"/>
      <c r="R347" s="40"/>
    </row>
    <row r="348" spans="10:18" ht="15.75" customHeight="1">
      <c r="J348" s="40"/>
      <c r="K348" s="40"/>
      <c r="L348" s="40"/>
      <c r="M348" s="40"/>
      <c r="N348" s="40"/>
      <c r="O348" s="40"/>
      <c r="P348" s="40"/>
      <c r="Q348" s="40"/>
      <c r="R348" s="40"/>
    </row>
    <row r="349" spans="10:18" ht="15.75" customHeight="1">
      <c r="J349" s="40"/>
      <c r="K349" s="40"/>
      <c r="L349" s="40"/>
      <c r="M349" s="40"/>
      <c r="N349" s="40"/>
      <c r="O349" s="40"/>
      <c r="P349" s="40"/>
      <c r="Q349" s="40"/>
      <c r="R349" s="40"/>
    </row>
    <row r="350" spans="10:18" ht="15.75" customHeight="1">
      <c r="J350" s="40"/>
      <c r="K350" s="40"/>
      <c r="L350" s="40"/>
      <c r="M350" s="40"/>
      <c r="N350" s="40"/>
      <c r="O350" s="40"/>
      <c r="P350" s="40"/>
      <c r="Q350" s="40"/>
      <c r="R350" s="40"/>
    </row>
    <row r="351" spans="10:18" ht="15.75" customHeight="1">
      <c r="J351" s="40"/>
      <c r="K351" s="40"/>
      <c r="L351" s="40"/>
      <c r="M351" s="40"/>
      <c r="N351" s="40"/>
      <c r="O351" s="40"/>
      <c r="P351" s="40"/>
      <c r="Q351" s="40"/>
      <c r="R351" s="40"/>
    </row>
    <row r="352" spans="10:18" ht="15.75" customHeight="1">
      <c r="J352" s="40"/>
      <c r="K352" s="40"/>
      <c r="L352" s="40"/>
      <c r="M352" s="40"/>
      <c r="N352" s="40"/>
      <c r="O352" s="40"/>
      <c r="P352" s="40"/>
      <c r="Q352" s="40"/>
      <c r="R352" s="40"/>
    </row>
    <row r="353" spans="10:18" ht="15.75" customHeight="1">
      <c r="J353" s="40"/>
      <c r="K353" s="40"/>
      <c r="L353" s="40"/>
      <c r="M353" s="40"/>
      <c r="N353" s="40"/>
      <c r="O353" s="40"/>
      <c r="P353" s="40"/>
      <c r="Q353" s="40"/>
      <c r="R353" s="40"/>
    </row>
    <row r="354" spans="10:18" ht="15.75" customHeight="1">
      <c r="J354" s="40"/>
      <c r="K354" s="40"/>
      <c r="L354" s="40"/>
      <c r="M354" s="40"/>
      <c r="N354" s="40"/>
      <c r="O354" s="40"/>
      <c r="P354" s="40"/>
      <c r="Q354" s="40"/>
      <c r="R354" s="40"/>
    </row>
    <row r="355" spans="10:18" ht="15.75" customHeight="1">
      <c r="J355" s="40"/>
      <c r="K355" s="40"/>
      <c r="L355" s="40"/>
      <c r="M355" s="40"/>
      <c r="N355" s="40"/>
      <c r="O355" s="40"/>
      <c r="P355" s="40"/>
      <c r="Q355" s="40"/>
      <c r="R355" s="40"/>
    </row>
    <row r="356" spans="10:18" ht="15.75" customHeight="1">
      <c r="J356" s="40"/>
      <c r="K356" s="40"/>
      <c r="L356" s="40"/>
      <c r="M356" s="40"/>
      <c r="N356" s="40"/>
      <c r="O356" s="40"/>
      <c r="P356" s="40"/>
      <c r="Q356" s="40"/>
      <c r="R356" s="40"/>
    </row>
    <row r="357" spans="10:18" ht="15.75" customHeight="1">
      <c r="J357" s="40"/>
      <c r="K357" s="40"/>
      <c r="L357" s="40"/>
      <c r="M357" s="40"/>
      <c r="N357" s="40"/>
      <c r="O357" s="40"/>
      <c r="P357" s="40"/>
      <c r="Q357" s="40"/>
      <c r="R357" s="40"/>
    </row>
    <row r="358" spans="10:18" ht="15.75" customHeight="1">
      <c r="J358" s="40"/>
      <c r="K358" s="40"/>
      <c r="L358" s="40"/>
      <c r="M358" s="40"/>
      <c r="N358" s="40"/>
      <c r="O358" s="40"/>
      <c r="P358" s="40"/>
      <c r="Q358" s="40"/>
      <c r="R358" s="40"/>
    </row>
    <row r="359" spans="10:18" ht="15.75" customHeight="1">
      <c r="J359" s="40"/>
      <c r="K359" s="40"/>
      <c r="L359" s="40"/>
      <c r="M359" s="40"/>
      <c r="N359" s="40"/>
      <c r="O359" s="40"/>
      <c r="P359" s="40"/>
      <c r="Q359" s="40"/>
      <c r="R359" s="40"/>
    </row>
    <row r="360" spans="10:18" ht="15.75" customHeight="1">
      <c r="J360" s="40"/>
      <c r="K360" s="40"/>
      <c r="L360" s="40"/>
      <c r="M360" s="40"/>
      <c r="N360" s="40"/>
      <c r="O360" s="40"/>
      <c r="P360" s="40"/>
      <c r="Q360" s="40"/>
      <c r="R360" s="40"/>
    </row>
    <row r="361" spans="10:18" ht="15.75" customHeight="1">
      <c r="J361" s="40"/>
      <c r="K361" s="40"/>
      <c r="L361" s="40"/>
      <c r="M361" s="40"/>
      <c r="N361" s="40"/>
      <c r="O361" s="40"/>
      <c r="P361" s="40"/>
      <c r="Q361" s="40"/>
      <c r="R361" s="40"/>
    </row>
    <row r="362" spans="10:18" ht="15.75" customHeight="1">
      <c r="J362" s="40"/>
      <c r="K362" s="40"/>
      <c r="L362" s="40"/>
      <c r="M362" s="40"/>
      <c r="N362" s="40"/>
      <c r="O362" s="40"/>
      <c r="P362" s="40"/>
      <c r="Q362" s="40"/>
      <c r="R362" s="40"/>
    </row>
    <row r="363" spans="10:18" ht="15.75" customHeight="1">
      <c r="J363" s="40"/>
      <c r="K363" s="40"/>
      <c r="L363" s="40"/>
      <c r="M363" s="40"/>
      <c r="N363" s="40"/>
      <c r="O363" s="40"/>
      <c r="P363" s="40"/>
      <c r="Q363" s="40"/>
      <c r="R363" s="40"/>
    </row>
    <row r="364" spans="10:18" ht="15.75" customHeight="1">
      <c r="J364" s="40"/>
      <c r="K364" s="40"/>
      <c r="L364" s="40"/>
      <c r="M364" s="40"/>
      <c r="N364" s="40"/>
      <c r="O364" s="40"/>
      <c r="P364" s="40"/>
      <c r="Q364" s="40"/>
      <c r="R364" s="40"/>
    </row>
    <row r="365" spans="10:18" ht="15.75" customHeight="1">
      <c r="J365" s="40"/>
      <c r="K365" s="40"/>
      <c r="L365" s="40"/>
      <c r="M365" s="40"/>
      <c r="N365" s="40"/>
      <c r="O365" s="40"/>
      <c r="P365" s="40"/>
      <c r="Q365" s="40"/>
      <c r="R365" s="40"/>
    </row>
    <row r="366" spans="10:18" ht="15.75" customHeight="1">
      <c r="J366" s="40"/>
      <c r="K366" s="40"/>
      <c r="L366" s="40"/>
      <c r="M366" s="40"/>
      <c r="N366" s="40"/>
      <c r="O366" s="40"/>
      <c r="P366" s="40"/>
      <c r="Q366" s="40"/>
      <c r="R366" s="40"/>
    </row>
    <row r="367" spans="10:18" ht="15.75" customHeight="1">
      <c r="J367" s="40"/>
      <c r="K367" s="40"/>
      <c r="L367" s="40"/>
      <c r="M367" s="40"/>
      <c r="N367" s="40"/>
      <c r="O367" s="40"/>
      <c r="P367" s="40"/>
      <c r="Q367" s="40"/>
      <c r="R367" s="40"/>
    </row>
    <row r="368" spans="10:18" ht="15.75" customHeight="1">
      <c r="J368" s="40"/>
      <c r="K368" s="40"/>
      <c r="L368" s="40"/>
      <c r="M368" s="40"/>
      <c r="N368" s="40"/>
      <c r="O368" s="40"/>
      <c r="P368" s="40"/>
      <c r="Q368" s="40"/>
      <c r="R368" s="40"/>
    </row>
    <row r="369" spans="10:18" ht="15.75" customHeight="1">
      <c r="J369" s="40"/>
      <c r="K369" s="40"/>
      <c r="L369" s="40"/>
      <c r="M369" s="40"/>
      <c r="N369" s="40"/>
      <c r="O369" s="40"/>
      <c r="P369" s="40"/>
      <c r="Q369" s="40"/>
      <c r="R369" s="40"/>
    </row>
    <row r="370" spans="10:18" ht="15.75" customHeight="1">
      <c r="J370" s="40"/>
      <c r="K370" s="40"/>
      <c r="L370" s="40"/>
      <c r="M370" s="40"/>
      <c r="N370" s="40"/>
      <c r="O370" s="40"/>
      <c r="P370" s="40"/>
      <c r="Q370" s="40"/>
      <c r="R370" s="40"/>
    </row>
    <row r="371" spans="10:18" ht="15.75" customHeight="1">
      <c r="J371" s="40"/>
      <c r="K371" s="40"/>
      <c r="L371" s="40"/>
      <c r="M371" s="40"/>
      <c r="N371" s="40"/>
      <c r="O371" s="40"/>
      <c r="P371" s="40"/>
      <c r="Q371" s="40"/>
      <c r="R371" s="40"/>
    </row>
    <row r="372" spans="10:18" ht="15.75" customHeight="1">
      <c r="J372" s="40"/>
      <c r="K372" s="40"/>
      <c r="L372" s="40"/>
      <c r="M372" s="40"/>
      <c r="N372" s="40"/>
      <c r="O372" s="40"/>
      <c r="P372" s="40"/>
      <c r="Q372" s="40"/>
      <c r="R372" s="40"/>
    </row>
    <row r="373" spans="10:18" ht="15.75" customHeight="1">
      <c r="J373" s="40"/>
      <c r="K373" s="40"/>
      <c r="L373" s="40"/>
      <c r="M373" s="40"/>
      <c r="N373" s="40"/>
      <c r="O373" s="40"/>
      <c r="P373" s="40"/>
      <c r="Q373" s="40"/>
      <c r="R373" s="40"/>
    </row>
    <row r="374" spans="10:18" ht="15.75" customHeight="1">
      <c r="J374" s="40"/>
      <c r="K374" s="40"/>
      <c r="L374" s="40"/>
      <c r="M374" s="40"/>
      <c r="N374" s="40"/>
      <c r="O374" s="40"/>
      <c r="P374" s="40"/>
      <c r="Q374" s="40"/>
      <c r="R374" s="40"/>
    </row>
    <row r="375" spans="10:18" ht="15.75" customHeight="1">
      <c r="J375" s="40"/>
      <c r="K375" s="40"/>
      <c r="L375" s="40"/>
      <c r="M375" s="40"/>
      <c r="N375" s="40"/>
      <c r="O375" s="40"/>
      <c r="P375" s="40"/>
      <c r="Q375" s="40"/>
      <c r="R375" s="40"/>
    </row>
    <row r="376" spans="10:18" ht="15.75" customHeight="1">
      <c r="J376" s="40"/>
      <c r="K376" s="40"/>
      <c r="L376" s="40"/>
      <c r="M376" s="40"/>
      <c r="N376" s="40"/>
      <c r="O376" s="40"/>
      <c r="P376" s="40"/>
      <c r="Q376" s="40"/>
      <c r="R376" s="40"/>
    </row>
    <row r="377" spans="10:18" ht="15.75" customHeight="1">
      <c r="J377" s="40"/>
      <c r="K377" s="40"/>
      <c r="L377" s="40"/>
      <c r="M377" s="40"/>
      <c r="N377" s="40"/>
      <c r="O377" s="40"/>
      <c r="P377" s="40"/>
      <c r="Q377" s="40"/>
      <c r="R377" s="40"/>
    </row>
    <row r="378" spans="10:18" ht="15.75" customHeight="1">
      <c r="J378" s="40"/>
      <c r="K378" s="40"/>
      <c r="L378" s="40"/>
      <c r="M378" s="40"/>
      <c r="N378" s="40"/>
      <c r="O378" s="40"/>
      <c r="P378" s="40"/>
      <c r="Q378" s="40"/>
      <c r="R378" s="40"/>
    </row>
    <row r="379" spans="10:18" ht="15.75" customHeight="1">
      <c r="J379" s="40"/>
      <c r="K379" s="40"/>
      <c r="L379" s="40"/>
      <c r="M379" s="40"/>
      <c r="N379" s="40"/>
      <c r="O379" s="40"/>
      <c r="P379" s="40"/>
      <c r="Q379" s="40"/>
      <c r="R379" s="40"/>
    </row>
    <row r="380" spans="10:18" ht="15.75" customHeight="1">
      <c r="J380" s="40"/>
      <c r="K380" s="40"/>
      <c r="L380" s="40"/>
      <c r="M380" s="40"/>
      <c r="N380" s="40"/>
      <c r="O380" s="40"/>
      <c r="P380" s="40"/>
      <c r="Q380" s="40"/>
      <c r="R380" s="40"/>
    </row>
    <row r="381" spans="10:18" ht="15.75" customHeight="1">
      <c r="J381" s="40"/>
      <c r="K381" s="40"/>
      <c r="L381" s="40"/>
      <c r="M381" s="40"/>
      <c r="N381" s="40"/>
      <c r="O381" s="40"/>
      <c r="P381" s="40"/>
      <c r="Q381" s="40"/>
      <c r="R381" s="40"/>
    </row>
    <row r="382" spans="10:18" ht="15.75" customHeight="1">
      <c r="J382" s="40"/>
      <c r="K382" s="40"/>
      <c r="L382" s="40"/>
      <c r="M382" s="40"/>
      <c r="N382" s="40"/>
      <c r="O382" s="40"/>
      <c r="P382" s="40"/>
      <c r="Q382" s="40"/>
      <c r="R382" s="40"/>
    </row>
    <row r="383" spans="10:18" ht="15.75" customHeight="1"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0:18" ht="15.75" customHeight="1"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0:18" ht="15.75" customHeight="1"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0:18" ht="15.75" customHeight="1"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0:18" ht="15.75" customHeight="1">
      <c r="J387" s="40"/>
      <c r="K387" s="40"/>
      <c r="L387" s="40"/>
      <c r="M387" s="40"/>
      <c r="N387" s="40"/>
      <c r="O387" s="40"/>
      <c r="P387" s="40"/>
      <c r="Q387" s="40"/>
      <c r="R387" s="40"/>
    </row>
    <row r="388" spans="10:18" ht="15.75" customHeight="1">
      <c r="J388" s="40"/>
      <c r="K388" s="40"/>
      <c r="L388" s="40"/>
      <c r="M388" s="40"/>
      <c r="N388" s="40"/>
      <c r="O388" s="40"/>
      <c r="P388" s="40"/>
      <c r="Q388" s="40"/>
      <c r="R388" s="40"/>
    </row>
    <row r="389" spans="10:18" ht="15.75" customHeight="1">
      <c r="J389" s="40"/>
      <c r="K389" s="40"/>
      <c r="L389" s="40"/>
      <c r="M389" s="40"/>
      <c r="N389" s="40"/>
      <c r="O389" s="40"/>
      <c r="P389" s="40"/>
      <c r="Q389" s="40"/>
      <c r="R389" s="40"/>
    </row>
    <row r="390" spans="10:18" ht="15.75" customHeight="1">
      <c r="J390" s="40"/>
      <c r="K390" s="40"/>
      <c r="L390" s="40"/>
      <c r="M390" s="40"/>
      <c r="N390" s="40"/>
      <c r="O390" s="40"/>
      <c r="P390" s="40"/>
      <c r="Q390" s="40"/>
      <c r="R390" s="40"/>
    </row>
    <row r="391" spans="10:18" ht="15.75" customHeight="1">
      <c r="J391" s="40"/>
      <c r="K391" s="40"/>
      <c r="L391" s="40"/>
      <c r="M391" s="40"/>
      <c r="N391" s="40"/>
      <c r="O391" s="40"/>
      <c r="P391" s="40"/>
      <c r="Q391" s="40"/>
      <c r="R391" s="40"/>
    </row>
    <row r="392" spans="10:18" ht="15.75" customHeight="1">
      <c r="J392" s="40"/>
      <c r="K392" s="40"/>
      <c r="L392" s="40"/>
      <c r="M392" s="40"/>
      <c r="N392" s="40"/>
      <c r="O392" s="40"/>
      <c r="P392" s="40"/>
      <c r="Q392" s="40"/>
      <c r="R392" s="40"/>
    </row>
    <row r="393" spans="10:18" ht="15.75" customHeight="1">
      <c r="J393" s="40"/>
      <c r="K393" s="40"/>
      <c r="L393" s="40"/>
      <c r="M393" s="40"/>
      <c r="N393" s="40"/>
      <c r="O393" s="40"/>
      <c r="P393" s="40"/>
      <c r="Q393" s="40"/>
      <c r="R393" s="40"/>
    </row>
    <row r="394" spans="10:18" ht="15.75" customHeight="1">
      <c r="J394" s="40"/>
      <c r="K394" s="40"/>
      <c r="L394" s="40"/>
      <c r="M394" s="40"/>
      <c r="N394" s="40"/>
      <c r="O394" s="40"/>
      <c r="P394" s="40"/>
      <c r="Q394" s="40"/>
      <c r="R394" s="40"/>
    </row>
    <row r="395" spans="10:18" ht="15.75" customHeight="1">
      <c r="J395" s="40"/>
      <c r="K395" s="40"/>
      <c r="L395" s="40"/>
      <c r="M395" s="40"/>
      <c r="N395" s="40"/>
      <c r="O395" s="40"/>
      <c r="P395" s="40"/>
      <c r="Q395" s="40"/>
      <c r="R395" s="40"/>
    </row>
    <row r="396" spans="10:18" ht="15.75" customHeight="1">
      <c r="J396" s="40"/>
      <c r="K396" s="40"/>
      <c r="L396" s="40"/>
      <c r="M396" s="40"/>
      <c r="N396" s="40"/>
      <c r="O396" s="40"/>
      <c r="P396" s="40"/>
      <c r="Q396" s="40"/>
      <c r="R396" s="40"/>
    </row>
    <row r="397" spans="10:18" ht="15.75" customHeight="1">
      <c r="J397" s="40"/>
      <c r="K397" s="40"/>
      <c r="L397" s="40"/>
      <c r="M397" s="40"/>
      <c r="N397" s="40"/>
      <c r="O397" s="40"/>
      <c r="P397" s="40"/>
      <c r="Q397" s="40"/>
      <c r="R397" s="40"/>
    </row>
    <row r="398" spans="10:18" ht="15.75" customHeight="1">
      <c r="J398" s="40"/>
      <c r="K398" s="40"/>
      <c r="L398" s="40"/>
      <c r="M398" s="40"/>
      <c r="N398" s="40"/>
      <c r="O398" s="40"/>
      <c r="P398" s="40"/>
      <c r="Q398" s="40"/>
      <c r="R398" s="40"/>
    </row>
    <row r="399" spans="10:18" ht="15.75" customHeight="1">
      <c r="J399" s="40"/>
      <c r="K399" s="40"/>
      <c r="L399" s="40"/>
      <c r="M399" s="40"/>
      <c r="N399" s="40"/>
      <c r="O399" s="40"/>
      <c r="P399" s="40"/>
      <c r="Q399" s="40"/>
      <c r="R399" s="40"/>
    </row>
    <row r="400" spans="10:18" ht="15.75" customHeight="1">
      <c r="J400" s="40"/>
      <c r="K400" s="40"/>
      <c r="L400" s="40"/>
      <c r="M400" s="40"/>
      <c r="N400" s="40"/>
      <c r="O400" s="40"/>
      <c r="P400" s="40"/>
      <c r="Q400" s="40"/>
      <c r="R400" s="40"/>
    </row>
    <row r="401" spans="10:18" ht="15.75" customHeight="1">
      <c r="J401" s="40"/>
      <c r="K401" s="40"/>
      <c r="L401" s="40"/>
      <c r="M401" s="40"/>
      <c r="N401" s="40"/>
      <c r="O401" s="40"/>
      <c r="P401" s="40"/>
      <c r="Q401" s="40"/>
      <c r="R401" s="40"/>
    </row>
    <row r="402" spans="10:18" ht="15.75" customHeight="1">
      <c r="J402" s="40"/>
      <c r="K402" s="40"/>
      <c r="L402" s="40"/>
      <c r="M402" s="40"/>
      <c r="N402" s="40"/>
      <c r="O402" s="40"/>
      <c r="P402" s="40"/>
      <c r="Q402" s="40"/>
      <c r="R402" s="40"/>
    </row>
    <row r="403" spans="10:18" ht="15.75" customHeight="1">
      <c r="J403" s="40"/>
      <c r="K403" s="40"/>
      <c r="L403" s="40"/>
      <c r="M403" s="40"/>
      <c r="N403" s="40"/>
      <c r="O403" s="40"/>
      <c r="P403" s="40"/>
      <c r="Q403" s="40"/>
      <c r="R403" s="40"/>
    </row>
    <row r="404" spans="10:18" ht="15.75" customHeight="1">
      <c r="J404" s="40"/>
      <c r="K404" s="40"/>
      <c r="L404" s="40"/>
      <c r="M404" s="40"/>
      <c r="N404" s="40"/>
      <c r="O404" s="40"/>
      <c r="P404" s="40"/>
      <c r="Q404" s="40"/>
      <c r="R404" s="40"/>
    </row>
    <row r="405" spans="10:18" ht="15.75" customHeight="1">
      <c r="J405" s="40"/>
      <c r="K405" s="40"/>
      <c r="L405" s="40"/>
      <c r="M405" s="40"/>
      <c r="N405" s="40"/>
      <c r="O405" s="40"/>
      <c r="P405" s="40"/>
      <c r="Q405" s="40"/>
      <c r="R405" s="40"/>
    </row>
    <row r="406" spans="10:18" ht="15.75" customHeight="1">
      <c r="J406" s="40"/>
      <c r="K406" s="40"/>
      <c r="L406" s="40"/>
      <c r="M406" s="40"/>
      <c r="N406" s="40"/>
      <c r="O406" s="40"/>
      <c r="P406" s="40"/>
      <c r="Q406" s="40"/>
      <c r="R406" s="40"/>
    </row>
    <row r="407" spans="10:18" ht="15.75" customHeight="1">
      <c r="J407" s="40"/>
      <c r="K407" s="40"/>
      <c r="L407" s="40"/>
      <c r="M407" s="40"/>
      <c r="N407" s="40"/>
      <c r="O407" s="40"/>
      <c r="P407" s="40"/>
      <c r="Q407" s="40"/>
      <c r="R407" s="40"/>
    </row>
    <row r="408" spans="10:18" ht="15.75" customHeight="1">
      <c r="J408" s="40"/>
      <c r="K408" s="40"/>
      <c r="L408" s="40"/>
      <c r="M408" s="40"/>
      <c r="N408" s="40"/>
      <c r="O408" s="40"/>
      <c r="P408" s="40"/>
      <c r="Q408" s="40"/>
      <c r="R408" s="40"/>
    </row>
    <row r="409" spans="10:18" ht="15.75" customHeight="1">
      <c r="J409" s="40"/>
      <c r="K409" s="40"/>
      <c r="L409" s="40"/>
      <c r="M409" s="40"/>
      <c r="N409" s="40"/>
      <c r="O409" s="40"/>
      <c r="P409" s="40"/>
      <c r="Q409" s="40"/>
      <c r="R409" s="40"/>
    </row>
    <row r="410" spans="10:18" ht="15.75" customHeight="1">
      <c r="J410" s="40"/>
      <c r="K410" s="40"/>
      <c r="L410" s="40"/>
      <c r="M410" s="40"/>
      <c r="N410" s="40"/>
      <c r="O410" s="40"/>
      <c r="P410" s="40"/>
      <c r="Q410" s="40"/>
      <c r="R410" s="40"/>
    </row>
    <row r="411" spans="10:18" ht="15.75" customHeight="1">
      <c r="J411" s="40"/>
      <c r="K411" s="40"/>
      <c r="L411" s="40"/>
      <c r="M411" s="40"/>
      <c r="N411" s="40"/>
      <c r="O411" s="40"/>
      <c r="P411" s="40"/>
      <c r="Q411" s="40"/>
      <c r="R411" s="40"/>
    </row>
    <row r="412" spans="10:18" ht="15.75" customHeight="1">
      <c r="J412" s="40"/>
      <c r="K412" s="40"/>
      <c r="L412" s="40"/>
      <c r="M412" s="40"/>
      <c r="N412" s="40"/>
      <c r="O412" s="40"/>
      <c r="P412" s="40"/>
      <c r="Q412" s="40"/>
      <c r="R412" s="40"/>
    </row>
    <row r="413" spans="10:18" ht="15.75" customHeight="1">
      <c r="J413" s="40"/>
      <c r="K413" s="40"/>
      <c r="L413" s="40"/>
      <c r="M413" s="40"/>
      <c r="N413" s="40"/>
      <c r="O413" s="40"/>
      <c r="P413" s="40"/>
      <c r="Q413" s="40"/>
      <c r="R413" s="40"/>
    </row>
    <row r="414" spans="10:18" ht="15.75" customHeight="1">
      <c r="J414" s="40"/>
      <c r="K414" s="40"/>
      <c r="L414" s="40"/>
      <c r="M414" s="40"/>
      <c r="N414" s="40"/>
      <c r="O414" s="40"/>
      <c r="P414" s="40"/>
      <c r="Q414" s="40"/>
      <c r="R414" s="40"/>
    </row>
    <row r="415" spans="10:18" ht="15.75" customHeight="1">
      <c r="J415" s="40"/>
      <c r="K415" s="40"/>
      <c r="L415" s="40"/>
      <c r="M415" s="40"/>
      <c r="N415" s="40"/>
      <c r="O415" s="40"/>
      <c r="P415" s="40"/>
      <c r="Q415" s="40"/>
      <c r="R415" s="40"/>
    </row>
    <row r="416" spans="10:18" ht="15.75" customHeight="1">
      <c r="J416" s="40"/>
      <c r="K416" s="40"/>
      <c r="L416" s="40"/>
      <c r="M416" s="40"/>
      <c r="N416" s="40"/>
      <c r="O416" s="40"/>
      <c r="P416" s="40"/>
      <c r="Q416" s="40"/>
      <c r="R416" s="40"/>
    </row>
    <row r="417" spans="10:18" ht="15.75" customHeight="1">
      <c r="J417" s="40"/>
      <c r="K417" s="40"/>
      <c r="L417" s="40"/>
      <c r="M417" s="40"/>
      <c r="N417" s="40"/>
      <c r="O417" s="40"/>
      <c r="P417" s="40"/>
      <c r="Q417" s="40"/>
      <c r="R417" s="40"/>
    </row>
    <row r="418" spans="10:18" ht="15.75" customHeight="1">
      <c r="J418" s="40"/>
      <c r="K418" s="40"/>
      <c r="L418" s="40"/>
      <c r="M418" s="40"/>
      <c r="N418" s="40"/>
      <c r="O418" s="40"/>
      <c r="P418" s="40"/>
      <c r="Q418" s="40"/>
      <c r="R418" s="40"/>
    </row>
    <row r="419" spans="10:18" ht="15.75" customHeight="1">
      <c r="J419" s="40"/>
      <c r="K419" s="40"/>
      <c r="L419" s="40"/>
      <c r="M419" s="40"/>
      <c r="N419" s="40"/>
      <c r="O419" s="40"/>
      <c r="P419" s="40"/>
      <c r="Q419" s="40"/>
      <c r="R419" s="40"/>
    </row>
    <row r="420" spans="10:18" ht="15.75" customHeight="1">
      <c r="J420" s="40"/>
      <c r="K420" s="40"/>
      <c r="L420" s="40"/>
      <c r="M420" s="40"/>
      <c r="N420" s="40"/>
      <c r="O420" s="40"/>
      <c r="P420" s="40"/>
      <c r="Q420" s="40"/>
      <c r="R420" s="40"/>
    </row>
    <row r="421" spans="10:18" ht="15.75" customHeight="1">
      <c r="J421" s="40"/>
      <c r="K421" s="40"/>
      <c r="L421" s="40"/>
      <c r="M421" s="40"/>
      <c r="N421" s="40"/>
      <c r="O421" s="40"/>
      <c r="P421" s="40"/>
      <c r="Q421" s="40"/>
      <c r="R421" s="40"/>
    </row>
    <row r="422" spans="10:18" ht="15.75" customHeight="1">
      <c r="J422" s="40"/>
      <c r="K422" s="40"/>
      <c r="L422" s="40"/>
      <c r="M422" s="40"/>
      <c r="N422" s="40"/>
      <c r="O422" s="40"/>
      <c r="P422" s="40"/>
      <c r="Q422" s="40"/>
      <c r="R422" s="40"/>
    </row>
    <row r="423" spans="10:18" ht="15.75" customHeight="1">
      <c r="J423" s="40"/>
      <c r="K423" s="40"/>
      <c r="L423" s="40"/>
      <c r="M423" s="40"/>
      <c r="N423" s="40"/>
      <c r="O423" s="40"/>
      <c r="P423" s="40"/>
      <c r="Q423" s="40"/>
      <c r="R423" s="40"/>
    </row>
    <row r="424" spans="10:18" ht="15.75" customHeight="1">
      <c r="J424" s="40"/>
      <c r="K424" s="40"/>
      <c r="L424" s="40"/>
      <c r="M424" s="40"/>
      <c r="N424" s="40"/>
      <c r="O424" s="40"/>
      <c r="P424" s="40"/>
      <c r="Q424" s="40"/>
      <c r="R424" s="40"/>
    </row>
    <row r="425" spans="10:18" ht="15.75" customHeight="1">
      <c r="J425" s="40"/>
      <c r="K425" s="40"/>
      <c r="L425" s="40"/>
      <c r="M425" s="40"/>
      <c r="N425" s="40"/>
      <c r="O425" s="40"/>
      <c r="P425" s="40"/>
      <c r="Q425" s="40"/>
      <c r="R425" s="40"/>
    </row>
    <row r="426" spans="10:18" ht="15.75" customHeight="1">
      <c r="J426" s="40"/>
      <c r="K426" s="40"/>
      <c r="L426" s="40"/>
      <c r="M426" s="40"/>
      <c r="N426" s="40"/>
      <c r="O426" s="40"/>
      <c r="P426" s="40"/>
      <c r="Q426" s="40"/>
      <c r="R426" s="40"/>
    </row>
    <row r="427" spans="10:18" ht="15.75" customHeight="1">
      <c r="J427" s="40"/>
      <c r="K427" s="40"/>
      <c r="L427" s="40"/>
      <c r="M427" s="40"/>
      <c r="N427" s="40"/>
      <c r="O427" s="40"/>
      <c r="P427" s="40"/>
      <c r="Q427" s="40"/>
      <c r="R427" s="40"/>
    </row>
    <row r="428" spans="10:18" ht="15.75" customHeight="1">
      <c r="J428" s="40"/>
      <c r="K428" s="40"/>
      <c r="L428" s="40"/>
      <c r="M428" s="40"/>
      <c r="N428" s="40"/>
      <c r="O428" s="40"/>
      <c r="P428" s="40"/>
      <c r="Q428" s="40"/>
      <c r="R428" s="40"/>
    </row>
    <row r="429" spans="10:18" ht="15.75" customHeight="1">
      <c r="J429" s="40"/>
      <c r="K429" s="40"/>
      <c r="L429" s="40"/>
      <c r="M429" s="40"/>
      <c r="N429" s="40"/>
      <c r="O429" s="40"/>
      <c r="P429" s="40"/>
      <c r="Q429" s="40"/>
      <c r="R429" s="40"/>
    </row>
    <row r="430" spans="10:18" ht="15.75" customHeight="1">
      <c r="J430" s="40"/>
      <c r="K430" s="40"/>
      <c r="L430" s="40"/>
      <c r="M430" s="40"/>
      <c r="N430" s="40"/>
      <c r="O430" s="40"/>
      <c r="P430" s="40"/>
      <c r="Q430" s="40"/>
      <c r="R430" s="40"/>
    </row>
    <row r="431" spans="10:18" ht="15.75" customHeight="1">
      <c r="J431" s="40"/>
      <c r="K431" s="40"/>
      <c r="L431" s="40"/>
      <c r="M431" s="40"/>
      <c r="N431" s="40"/>
      <c r="O431" s="40"/>
      <c r="P431" s="40"/>
      <c r="Q431" s="40"/>
      <c r="R431" s="40"/>
    </row>
    <row r="432" spans="10:18" ht="15.75" customHeight="1">
      <c r="J432" s="40"/>
      <c r="K432" s="40"/>
      <c r="L432" s="40"/>
      <c r="M432" s="40"/>
      <c r="N432" s="40"/>
      <c r="O432" s="40"/>
      <c r="P432" s="40"/>
      <c r="Q432" s="40"/>
      <c r="R432" s="40"/>
    </row>
    <row r="433" spans="10:18" ht="15.75" customHeight="1">
      <c r="J433" s="40"/>
      <c r="K433" s="40"/>
      <c r="L433" s="40"/>
      <c r="M433" s="40"/>
      <c r="N433" s="40"/>
      <c r="O433" s="40"/>
      <c r="P433" s="40"/>
      <c r="Q433" s="40"/>
      <c r="R433" s="40"/>
    </row>
    <row r="434" spans="10:18" ht="15.75" customHeight="1">
      <c r="J434" s="40"/>
      <c r="K434" s="40"/>
      <c r="L434" s="40"/>
      <c r="M434" s="40"/>
      <c r="N434" s="40"/>
      <c r="O434" s="40"/>
      <c r="P434" s="40"/>
      <c r="Q434" s="40"/>
      <c r="R434" s="40"/>
    </row>
    <row r="435" spans="10:18" ht="15.75" customHeight="1">
      <c r="J435" s="40"/>
      <c r="K435" s="40"/>
      <c r="L435" s="40"/>
      <c r="M435" s="40"/>
      <c r="N435" s="40"/>
      <c r="O435" s="40"/>
      <c r="P435" s="40"/>
      <c r="Q435" s="40"/>
      <c r="R435" s="40"/>
    </row>
    <row r="436" spans="10:18" ht="15.75" customHeight="1">
      <c r="J436" s="40"/>
      <c r="K436" s="40"/>
      <c r="L436" s="40"/>
      <c r="M436" s="40"/>
      <c r="N436" s="40"/>
      <c r="O436" s="40"/>
      <c r="P436" s="40"/>
      <c r="Q436" s="40"/>
      <c r="R436" s="40"/>
    </row>
    <row r="437" spans="10:18" ht="15.75" customHeight="1">
      <c r="J437" s="40"/>
      <c r="K437" s="40"/>
      <c r="L437" s="40"/>
      <c r="M437" s="40"/>
      <c r="N437" s="40"/>
      <c r="O437" s="40"/>
      <c r="P437" s="40"/>
      <c r="Q437" s="40"/>
      <c r="R437" s="40"/>
    </row>
    <row r="438" spans="10:18" ht="15.75" customHeight="1">
      <c r="J438" s="40"/>
      <c r="K438" s="40"/>
      <c r="L438" s="40"/>
      <c r="M438" s="40"/>
      <c r="N438" s="40"/>
      <c r="O438" s="40"/>
      <c r="P438" s="40"/>
      <c r="Q438" s="40"/>
      <c r="R438" s="40"/>
    </row>
    <row r="439" spans="10:18" ht="15.75" customHeight="1">
      <c r="J439" s="40"/>
      <c r="K439" s="40"/>
      <c r="L439" s="40"/>
      <c r="M439" s="40"/>
      <c r="N439" s="40"/>
      <c r="O439" s="40"/>
      <c r="P439" s="40"/>
      <c r="Q439" s="40"/>
      <c r="R439" s="40"/>
    </row>
    <row r="440" spans="10:18" ht="15.75" customHeight="1">
      <c r="J440" s="40"/>
      <c r="K440" s="40"/>
      <c r="L440" s="40"/>
      <c r="M440" s="40"/>
      <c r="N440" s="40"/>
      <c r="O440" s="40"/>
      <c r="P440" s="40"/>
      <c r="Q440" s="40"/>
      <c r="R440" s="40"/>
    </row>
    <row r="441" spans="10:18" ht="15.75" customHeight="1">
      <c r="J441" s="40"/>
      <c r="K441" s="40"/>
      <c r="L441" s="40"/>
      <c r="M441" s="40"/>
      <c r="N441" s="40"/>
      <c r="O441" s="40"/>
      <c r="P441" s="40"/>
      <c r="Q441" s="40"/>
      <c r="R441" s="40"/>
    </row>
    <row r="442" spans="10:18" ht="15.75" customHeight="1">
      <c r="J442" s="40"/>
      <c r="K442" s="40"/>
      <c r="L442" s="40"/>
      <c r="M442" s="40"/>
      <c r="N442" s="40"/>
      <c r="O442" s="40"/>
      <c r="P442" s="40"/>
      <c r="Q442" s="40"/>
      <c r="R442" s="40"/>
    </row>
    <row r="443" spans="10:18" ht="15.75" customHeight="1">
      <c r="J443" s="40"/>
      <c r="K443" s="40"/>
      <c r="L443" s="40"/>
      <c r="M443" s="40"/>
      <c r="N443" s="40"/>
      <c r="O443" s="40"/>
      <c r="P443" s="40"/>
      <c r="Q443" s="40"/>
      <c r="R443" s="40"/>
    </row>
    <row r="444" spans="10:18" ht="15.75" customHeight="1">
      <c r="J444" s="40"/>
      <c r="K444" s="40"/>
      <c r="L444" s="40"/>
      <c r="M444" s="40"/>
      <c r="N444" s="40"/>
      <c r="O444" s="40"/>
      <c r="P444" s="40"/>
      <c r="Q444" s="40"/>
      <c r="R444" s="40"/>
    </row>
    <row r="445" spans="10:18" ht="15.75" customHeight="1">
      <c r="J445" s="40"/>
      <c r="K445" s="40"/>
      <c r="L445" s="40"/>
      <c r="M445" s="40"/>
      <c r="N445" s="40"/>
      <c r="O445" s="40"/>
      <c r="P445" s="40"/>
      <c r="Q445" s="40"/>
      <c r="R445" s="40"/>
    </row>
    <row r="446" spans="10:18" ht="15.75" customHeight="1">
      <c r="J446" s="40"/>
      <c r="K446" s="40"/>
      <c r="L446" s="40"/>
      <c r="M446" s="40"/>
      <c r="N446" s="40"/>
      <c r="O446" s="40"/>
      <c r="P446" s="40"/>
      <c r="Q446" s="40"/>
      <c r="R446" s="40"/>
    </row>
    <row r="447" spans="10:18" ht="15.75" customHeight="1">
      <c r="J447" s="40"/>
      <c r="K447" s="40"/>
      <c r="L447" s="40"/>
      <c r="M447" s="40"/>
      <c r="N447" s="40"/>
      <c r="O447" s="40"/>
      <c r="P447" s="40"/>
      <c r="Q447" s="40"/>
      <c r="R447" s="40"/>
    </row>
    <row r="448" spans="10:18" ht="15.75" customHeight="1">
      <c r="J448" s="40"/>
      <c r="K448" s="40"/>
      <c r="L448" s="40"/>
      <c r="M448" s="40"/>
      <c r="N448" s="40"/>
      <c r="O448" s="40"/>
      <c r="P448" s="40"/>
      <c r="Q448" s="40"/>
      <c r="R448" s="40"/>
    </row>
    <row r="449" spans="10:18" ht="15.75" customHeight="1">
      <c r="J449" s="40"/>
      <c r="K449" s="40"/>
      <c r="L449" s="40"/>
      <c r="M449" s="40"/>
      <c r="N449" s="40"/>
      <c r="O449" s="40"/>
      <c r="P449" s="40"/>
      <c r="Q449" s="40"/>
      <c r="R449" s="40"/>
    </row>
    <row r="450" spans="10:18" ht="15.75" customHeight="1">
      <c r="J450" s="40"/>
      <c r="K450" s="40"/>
      <c r="L450" s="40"/>
      <c r="M450" s="40"/>
      <c r="N450" s="40"/>
      <c r="O450" s="40"/>
      <c r="P450" s="40"/>
      <c r="Q450" s="40"/>
      <c r="R450" s="40"/>
    </row>
    <row r="451" spans="10:18" ht="15.75" customHeight="1">
      <c r="J451" s="40"/>
      <c r="K451" s="40"/>
      <c r="L451" s="40"/>
      <c r="M451" s="40"/>
      <c r="N451" s="40"/>
      <c r="O451" s="40"/>
      <c r="P451" s="40"/>
      <c r="Q451" s="40"/>
      <c r="R451" s="40"/>
    </row>
    <row r="452" spans="10:18" ht="15.75" customHeight="1">
      <c r="J452" s="40"/>
      <c r="K452" s="40"/>
      <c r="L452" s="40"/>
      <c r="M452" s="40"/>
      <c r="N452" s="40"/>
      <c r="O452" s="40"/>
      <c r="P452" s="40"/>
      <c r="Q452" s="40"/>
      <c r="R452" s="40"/>
    </row>
    <row r="453" spans="10:18" ht="15.75" customHeight="1">
      <c r="J453" s="40"/>
      <c r="K453" s="40"/>
      <c r="L453" s="40"/>
      <c r="M453" s="40"/>
      <c r="N453" s="40"/>
      <c r="O453" s="40"/>
      <c r="P453" s="40"/>
      <c r="Q453" s="40"/>
      <c r="R453" s="40"/>
    </row>
    <row r="454" spans="10:18" ht="15.75" customHeight="1">
      <c r="J454" s="40"/>
      <c r="K454" s="40"/>
      <c r="L454" s="40"/>
      <c r="M454" s="40"/>
      <c r="N454" s="40"/>
      <c r="O454" s="40"/>
      <c r="P454" s="40"/>
      <c r="Q454" s="40"/>
      <c r="R454" s="40"/>
    </row>
    <row r="455" spans="10:18" ht="15.75" customHeight="1">
      <c r="J455" s="40"/>
      <c r="K455" s="40"/>
      <c r="L455" s="40"/>
      <c r="M455" s="40"/>
      <c r="N455" s="40"/>
      <c r="O455" s="40"/>
      <c r="P455" s="40"/>
      <c r="Q455" s="40"/>
      <c r="R455" s="40"/>
    </row>
    <row r="456" spans="10:18" ht="15.75" customHeight="1">
      <c r="J456" s="40"/>
      <c r="K456" s="40"/>
      <c r="L456" s="40"/>
      <c r="M456" s="40"/>
      <c r="N456" s="40"/>
      <c r="O456" s="40"/>
      <c r="P456" s="40"/>
      <c r="Q456" s="40"/>
      <c r="R456" s="40"/>
    </row>
    <row r="457" spans="10:18" ht="15.75" customHeight="1">
      <c r="J457" s="40"/>
      <c r="K457" s="40"/>
      <c r="L457" s="40"/>
      <c r="M457" s="40"/>
      <c r="N457" s="40"/>
      <c r="O457" s="40"/>
      <c r="P457" s="40"/>
      <c r="Q457" s="40"/>
      <c r="R457" s="40"/>
    </row>
    <row r="458" spans="10:18" ht="15.75" customHeight="1">
      <c r="J458" s="40"/>
      <c r="K458" s="40"/>
      <c r="L458" s="40"/>
      <c r="M458" s="40"/>
      <c r="N458" s="40"/>
      <c r="O458" s="40"/>
      <c r="P458" s="40"/>
      <c r="Q458" s="40"/>
      <c r="R458" s="40"/>
    </row>
    <row r="459" spans="10:18" ht="15.75" customHeight="1">
      <c r="J459" s="40"/>
      <c r="K459" s="40"/>
      <c r="L459" s="40"/>
      <c r="M459" s="40"/>
      <c r="N459" s="40"/>
      <c r="O459" s="40"/>
      <c r="P459" s="40"/>
      <c r="Q459" s="40"/>
      <c r="R459" s="40"/>
    </row>
    <row r="460" spans="10:18" ht="15.75" customHeight="1">
      <c r="J460" s="40"/>
      <c r="K460" s="40"/>
      <c r="L460" s="40"/>
      <c r="M460" s="40"/>
      <c r="N460" s="40"/>
      <c r="O460" s="40"/>
      <c r="P460" s="40"/>
      <c r="Q460" s="40"/>
      <c r="R460" s="40"/>
    </row>
    <row r="461" spans="10:18" ht="15.75" customHeight="1">
      <c r="J461" s="40"/>
      <c r="K461" s="40"/>
      <c r="L461" s="40"/>
      <c r="M461" s="40"/>
      <c r="N461" s="40"/>
      <c r="O461" s="40"/>
      <c r="P461" s="40"/>
      <c r="Q461" s="40"/>
      <c r="R461" s="40"/>
    </row>
    <row r="462" spans="10:18" ht="15.75" customHeight="1">
      <c r="J462" s="40"/>
      <c r="K462" s="40"/>
      <c r="L462" s="40"/>
      <c r="M462" s="40"/>
      <c r="N462" s="40"/>
      <c r="O462" s="40"/>
      <c r="P462" s="40"/>
      <c r="Q462" s="40"/>
      <c r="R462" s="40"/>
    </row>
    <row r="463" spans="10:18" ht="15.75" customHeight="1">
      <c r="J463" s="40"/>
      <c r="K463" s="40"/>
      <c r="L463" s="40"/>
      <c r="M463" s="40"/>
      <c r="N463" s="40"/>
      <c r="O463" s="40"/>
      <c r="P463" s="40"/>
      <c r="Q463" s="40"/>
      <c r="R463" s="40"/>
    </row>
    <row r="464" spans="10:18" ht="15.75" customHeight="1">
      <c r="J464" s="40"/>
      <c r="K464" s="40"/>
      <c r="L464" s="40"/>
      <c r="M464" s="40"/>
      <c r="N464" s="40"/>
      <c r="O464" s="40"/>
      <c r="P464" s="40"/>
      <c r="Q464" s="40"/>
      <c r="R464" s="40"/>
    </row>
    <row r="465" spans="10:18" ht="15.75" customHeight="1">
      <c r="J465" s="40"/>
      <c r="K465" s="40"/>
      <c r="L465" s="40"/>
      <c r="M465" s="40"/>
      <c r="N465" s="40"/>
      <c r="O465" s="40"/>
      <c r="P465" s="40"/>
      <c r="Q465" s="40"/>
      <c r="R465" s="40"/>
    </row>
    <row r="466" spans="10:18" ht="15.75" customHeight="1">
      <c r="J466" s="40"/>
      <c r="K466" s="40"/>
      <c r="L466" s="40"/>
      <c r="M466" s="40"/>
      <c r="N466" s="40"/>
      <c r="O466" s="40"/>
      <c r="P466" s="40"/>
      <c r="Q466" s="40"/>
      <c r="R466" s="40"/>
    </row>
    <row r="467" spans="10:18" ht="15.75" customHeight="1">
      <c r="J467" s="40"/>
      <c r="K467" s="40"/>
      <c r="L467" s="40"/>
      <c r="M467" s="40"/>
      <c r="N467" s="40"/>
      <c r="O467" s="40"/>
      <c r="P467" s="40"/>
      <c r="Q467" s="40"/>
      <c r="R467" s="40"/>
    </row>
    <row r="468" spans="10:18" ht="15.75" customHeight="1">
      <c r="J468" s="40"/>
      <c r="K468" s="40"/>
      <c r="L468" s="40"/>
      <c r="M468" s="40"/>
      <c r="N468" s="40"/>
      <c r="O468" s="40"/>
      <c r="P468" s="40"/>
      <c r="Q468" s="40"/>
      <c r="R468" s="40"/>
    </row>
    <row r="469" spans="10:18" ht="15.75" customHeight="1">
      <c r="J469" s="40"/>
      <c r="K469" s="40"/>
      <c r="L469" s="40"/>
      <c r="M469" s="40"/>
      <c r="N469" s="40"/>
      <c r="O469" s="40"/>
      <c r="P469" s="40"/>
      <c r="Q469" s="40"/>
      <c r="R469" s="40"/>
    </row>
    <row r="470" spans="10:18" ht="15.75" customHeight="1">
      <c r="J470" s="40"/>
      <c r="K470" s="40"/>
      <c r="L470" s="40"/>
      <c r="M470" s="40"/>
      <c r="N470" s="40"/>
      <c r="O470" s="40"/>
      <c r="P470" s="40"/>
      <c r="Q470" s="40"/>
      <c r="R470" s="40"/>
    </row>
    <row r="471" spans="10:18" ht="15.75" customHeight="1">
      <c r="J471" s="40"/>
      <c r="K471" s="40"/>
      <c r="L471" s="40"/>
      <c r="M471" s="40"/>
      <c r="N471" s="40"/>
      <c r="O471" s="40"/>
      <c r="P471" s="40"/>
      <c r="Q471" s="40"/>
      <c r="R471" s="40"/>
    </row>
    <row r="472" spans="10:18" ht="15.75" customHeight="1">
      <c r="J472" s="40"/>
      <c r="K472" s="40"/>
      <c r="L472" s="40"/>
      <c r="M472" s="40"/>
      <c r="N472" s="40"/>
      <c r="O472" s="40"/>
      <c r="P472" s="40"/>
      <c r="Q472" s="40"/>
      <c r="R472" s="40"/>
    </row>
    <row r="473" spans="10:18" ht="15.75" customHeight="1">
      <c r="J473" s="40"/>
      <c r="K473" s="40"/>
      <c r="L473" s="40"/>
      <c r="M473" s="40"/>
      <c r="N473" s="40"/>
      <c r="O473" s="40"/>
      <c r="P473" s="40"/>
      <c r="Q473" s="40"/>
      <c r="R473" s="40"/>
    </row>
    <row r="474" spans="10:18" ht="15.75" customHeight="1">
      <c r="J474" s="40"/>
      <c r="K474" s="40"/>
      <c r="L474" s="40"/>
      <c r="M474" s="40"/>
      <c r="N474" s="40"/>
      <c r="O474" s="40"/>
      <c r="P474" s="40"/>
      <c r="Q474" s="40"/>
      <c r="R474" s="40"/>
    </row>
    <row r="475" spans="10:18" ht="15.75" customHeight="1">
      <c r="J475" s="40"/>
      <c r="K475" s="40"/>
      <c r="L475" s="40"/>
      <c r="M475" s="40"/>
      <c r="N475" s="40"/>
      <c r="O475" s="40"/>
      <c r="P475" s="40"/>
      <c r="Q475" s="40"/>
      <c r="R475" s="40"/>
    </row>
    <row r="476" spans="10:18" ht="15.75" customHeight="1">
      <c r="J476" s="40"/>
      <c r="K476" s="40"/>
      <c r="L476" s="40"/>
      <c r="M476" s="40"/>
      <c r="N476" s="40"/>
      <c r="O476" s="40"/>
      <c r="P476" s="40"/>
      <c r="Q476" s="40"/>
      <c r="R476" s="40"/>
    </row>
    <row r="477" spans="10:18" ht="15.75" customHeight="1">
      <c r="J477" s="40"/>
      <c r="K477" s="40"/>
      <c r="L477" s="40"/>
      <c r="M477" s="40"/>
      <c r="N477" s="40"/>
      <c r="O477" s="40"/>
      <c r="P477" s="40"/>
      <c r="Q477" s="40"/>
      <c r="R477" s="40"/>
    </row>
    <row r="478" spans="10:18" ht="15.75" customHeight="1">
      <c r="J478" s="40"/>
      <c r="K478" s="40"/>
      <c r="L478" s="40"/>
      <c r="M478" s="40"/>
      <c r="N478" s="40"/>
      <c r="O478" s="40"/>
      <c r="P478" s="40"/>
      <c r="Q478" s="40"/>
      <c r="R478" s="40"/>
    </row>
    <row r="479" spans="10:18" ht="15.75" customHeight="1">
      <c r="J479" s="40"/>
      <c r="K479" s="40"/>
      <c r="L479" s="40"/>
      <c r="M479" s="40"/>
      <c r="N479" s="40"/>
      <c r="O479" s="40"/>
      <c r="P479" s="40"/>
      <c r="Q479" s="40"/>
      <c r="R479" s="40"/>
    </row>
    <row r="480" spans="10:18" ht="15.75" customHeight="1">
      <c r="J480" s="40"/>
      <c r="K480" s="40"/>
      <c r="L480" s="40"/>
      <c r="M480" s="40"/>
      <c r="N480" s="40"/>
      <c r="O480" s="40"/>
      <c r="P480" s="40"/>
      <c r="Q480" s="40"/>
      <c r="R480" s="40"/>
    </row>
    <row r="481" spans="10:18" ht="15.75" customHeight="1">
      <c r="J481" s="40"/>
      <c r="K481" s="40"/>
      <c r="L481" s="40"/>
      <c r="M481" s="40"/>
      <c r="N481" s="40"/>
      <c r="O481" s="40"/>
      <c r="P481" s="40"/>
      <c r="Q481" s="40"/>
      <c r="R481" s="40"/>
    </row>
    <row r="482" spans="10:18" ht="15.75" customHeight="1">
      <c r="J482" s="40"/>
      <c r="K482" s="40"/>
      <c r="L482" s="40"/>
      <c r="M482" s="40"/>
      <c r="N482" s="40"/>
      <c r="O482" s="40"/>
      <c r="P482" s="40"/>
      <c r="Q482" s="40"/>
      <c r="R482" s="40"/>
    </row>
    <row r="483" spans="10:18" ht="15.75" customHeight="1">
      <c r="J483" s="40"/>
      <c r="K483" s="40"/>
      <c r="L483" s="40"/>
      <c r="M483" s="40"/>
      <c r="N483" s="40"/>
      <c r="O483" s="40"/>
      <c r="P483" s="40"/>
      <c r="Q483" s="40"/>
      <c r="R483" s="40"/>
    </row>
    <row r="484" spans="10:18" ht="15.75" customHeight="1">
      <c r="J484" s="40"/>
      <c r="K484" s="40"/>
      <c r="L484" s="40"/>
      <c r="M484" s="40"/>
      <c r="N484" s="40"/>
      <c r="O484" s="40"/>
      <c r="P484" s="40"/>
      <c r="Q484" s="40"/>
      <c r="R484" s="40"/>
    </row>
    <row r="485" spans="10:18" ht="15.75" customHeight="1">
      <c r="J485" s="40"/>
      <c r="K485" s="40"/>
      <c r="L485" s="40"/>
      <c r="M485" s="40"/>
      <c r="N485" s="40"/>
      <c r="O485" s="40"/>
      <c r="P485" s="40"/>
      <c r="Q485" s="40"/>
      <c r="R485" s="40"/>
    </row>
    <row r="486" spans="10:18" ht="15.75" customHeight="1">
      <c r="J486" s="40"/>
      <c r="K486" s="40"/>
      <c r="L486" s="40"/>
      <c r="M486" s="40"/>
      <c r="N486" s="40"/>
      <c r="O486" s="40"/>
      <c r="P486" s="40"/>
      <c r="Q486" s="40"/>
      <c r="R486" s="40"/>
    </row>
    <row r="487" spans="10:18" ht="15.75" customHeight="1">
      <c r="J487" s="40"/>
      <c r="K487" s="40"/>
      <c r="L487" s="40"/>
      <c r="M487" s="40"/>
      <c r="N487" s="40"/>
      <c r="O487" s="40"/>
      <c r="P487" s="40"/>
      <c r="Q487" s="40"/>
      <c r="R487" s="40"/>
    </row>
    <row r="488" spans="10:18" ht="15.75" customHeight="1">
      <c r="J488" s="40"/>
      <c r="K488" s="40"/>
      <c r="L488" s="40"/>
      <c r="M488" s="40"/>
      <c r="N488" s="40"/>
      <c r="O488" s="40"/>
      <c r="P488" s="40"/>
      <c r="Q488" s="40"/>
      <c r="R488" s="40"/>
    </row>
    <row r="489" spans="10:18" ht="15.75" customHeight="1">
      <c r="J489" s="40"/>
      <c r="K489" s="40"/>
      <c r="L489" s="40"/>
      <c r="M489" s="40"/>
      <c r="N489" s="40"/>
      <c r="O489" s="40"/>
      <c r="P489" s="40"/>
      <c r="Q489" s="40"/>
      <c r="R489" s="40"/>
    </row>
    <row r="490" spans="10:18" ht="15.75" customHeight="1">
      <c r="J490" s="40"/>
      <c r="K490" s="40"/>
      <c r="L490" s="40"/>
      <c r="M490" s="40"/>
      <c r="N490" s="40"/>
      <c r="O490" s="40"/>
      <c r="P490" s="40"/>
      <c r="Q490" s="40"/>
      <c r="R490" s="40"/>
    </row>
    <row r="491" spans="10:18" ht="15.75" customHeight="1">
      <c r="J491" s="40"/>
      <c r="K491" s="40"/>
      <c r="L491" s="40"/>
      <c r="M491" s="40"/>
      <c r="N491" s="40"/>
      <c r="O491" s="40"/>
      <c r="P491" s="40"/>
      <c r="Q491" s="40"/>
      <c r="R491" s="40"/>
    </row>
    <row r="492" spans="10:18" ht="15.75" customHeight="1">
      <c r="J492" s="40"/>
      <c r="K492" s="40"/>
      <c r="L492" s="40"/>
      <c r="M492" s="40"/>
      <c r="N492" s="40"/>
      <c r="O492" s="40"/>
      <c r="P492" s="40"/>
      <c r="Q492" s="40"/>
      <c r="R492" s="40"/>
    </row>
    <row r="493" spans="10:18" ht="15.75" customHeight="1">
      <c r="J493" s="40"/>
      <c r="K493" s="40"/>
      <c r="L493" s="40"/>
      <c r="M493" s="40"/>
      <c r="N493" s="40"/>
      <c r="O493" s="40"/>
      <c r="P493" s="40"/>
      <c r="Q493" s="40"/>
      <c r="R493" s="40"/>
    </row>
    <row r="494" spans="10:18" ht="15.75" customHeight="1">
      <c r="J494" s="40"/>
      <c r="K494" s="40"/>
      <c r="L494" s="40"/>
      <c r="M494" s="40"/>
      <c r="N494" s="40"/>
      <c r="O494" s="40"/>
      <c r="P494" s="40"/>
      <c r="Q494" s="40"/>
      <c r="R494" s="40"/>
    </row>
    <row r="495" spans="10:18" ht="15.75" customHeight="1">
      <c r="J495" s="40"/>
      <c r="K495" s="40"/>
      <c r="L495" s="40"/>
      <c r="M495" s="40"/>
      <c r="N495" s="40"/>
      <c r="O495" s="40"/>
      <c r="P495" s="40"/>
      <c r="Q495" s="40"/>
      <c r="R495" s="40"/>
    </row>
    <row r="496" spans="10:18" ht="15.75" customHeight="1">
      <c r="J496" s="40"/>
      <c r="K496" s="40"/>
      <c r="L496" s="40"/>
      <c r="M496" s="40"/>
      <c r="N496" s="40"/>
      <c r="O496" s="40"/>
      <c r="P496" s="40"/>
      <c r="Q496" s="40"/>
      <c r="R496" s="40"/>
    </row>
    <row r="497" spans="10:18" ht="15.75" customHeight="1">
      <c r="J497" s="40"/>
      <c r="K497" s="40"/>
      <c r="L497" s="40"/>
      <c r="M497" s="40"/>
      <c r="N497" s="40"/>
      <c r="O497" s="40"/>
      <c r="P497" s="40"/>
      <c r="Q497" s="40"/>
      <c r="R497" s="40"/>
    </row>
    <row r="498" spans="10:18" ht="15.75" customHeight="1">
      <c r="J498" s="40"/>
      <c r="K498" s="40"/>
      <c r="L498" s="40"/>
      <c r="M498" s="40"/>
      <c r="N498" s="40"/>
      <c r="O498" s="40"/>
      <c r="P498" s="40"/>
      <c r="Q498" s="40"/>
      <c r="R498" s="40"/>
    </row>
    <row r="499" spans="10:18" ht="15.75" customHeight="1">
      <c r="J499" s="40"/>
      <c r="K499" s="40"/>
      <c r="L499" s="40"/>
      <c r="M499" s="40"/>
      <c r="N499" s="40"/>
      <c r="O499" s="40"/>
      <c r="P499" s="40"/>
      <c r="Q499" s="40"/>
      <c r="R499" s="40"/>
    </row>
    <row r="500" spans="10:18" ht="15.75" customHeight="1">
      <c r="J500" s="40"/>
      <c r="K500" s="40"/>
      <c r="L500" s="40"/>
      <c r="M500" s="40"/>
      <c r="N500" s="40"/>
      <c r="O500" s="40"/>
      <c r="P500" s="40"/>
      <c r="Q500" s="40"/>
      <c r="R500" s="40"/>
    </row>
    <row r="501" spans="10:18" ht="15.75" customHeight="1">
      <c r="J501" s="40"/>
      <c r="K501" s="40"/>
      <c r="L501" s="40"/>
      <c r="M501" s="40"/>
      <c r="N501" s="40"/>
      <c r="O501" s="40"/>
      <c r="P501" s="40"/>
      <c r="Q501" s="40"/>
      <c r="R501" s="40"/>
    </row>
    <row r="502" spans="10:18" ht="15.75" customHeight="1">
      <c r="J502" s="40"/>
      <c r="K502" s="40"/>
      <c r="L502" s="40"/>
      <c r="M502" s="40"/>
      <c r="N502" s="40"/>
      <c r="O502" s="40"/>
      <c r="P502" s="40"/>
      <c r="Q502" s="40"/>
      <c r="R502" s="40"/>
    </row>
    <row r="503" spans="10:18" ht="15.75" customHeight="1">
      <c r="J503" s="40"/>
      <c r="K503" s="40"/>
      <c r="L503" s="40"/>
      <c r="M503" s="40"/>
      <c r="N503" s="40"/>
      <c r="O503" s="40"/>
      <c r="P503" s="40"/>
      <c r="Q503" s="40"/>
      <c r="R503" s="40"/>
    </row>
    <row r="504" spans="10:18" ht="15.75" customHeight="1">
      <c r="J504" s="40"/>
      <c r="K504" s="40"/>
      <c r="L504" s="40"/>
      <c r="M504" s="40"/>
      <c r="N504" s="40"/>
      <c r="O504" s="40"/>
      <c r="P504" s="40"/>
      <c r="Q504" s="40"/>
      <c r="R504" s="40"/>
    </row>
    <row r="505" spans="10:18" ht="15.75" customHeight="1">
      <c r="J505" s="40"/>
      <c r="K505" s="40"/>
      <c r="L505" s="40"/>
      <c r="M505" s="40"/>
      <c r="N505" s="40"/>
      <c r="O505" s="40"/>
      <c r="P505" s="40"/>
      <c r="Q505" s="40"/>
      <c r="R505" s="40"/>
    </row>
    <row r="506" spans="10:18" ht="15.75" customHeight="1">
      <c r="J506" s="40"/>
      <c r="K506" s="40"/>
      <c r="L506" s="40"/>
      <c r="M506" s="40"/>
      <c r="N506" s="40"/>
      <c r="O506" s="40"/>
      <c r="P506" s="40"/>
      <c r="Q506" s="40"/>
      <c r="R506" s="40"/>
    </row>
    <row r="507" spans="10:18" ht="15.75" customHeight="1">
      <c r="J507" s="40"/>
      <c r="K507" s="40"/>
      <c r="L507" s="40"/>
      <c r="M507" s="40"/>
      <c r="N507" s="40"/>
      <c r="O507" s="40"/>
      <c r="P507" s="40"/>
      <c r="Q507" s="40"/>
      <c r="R507" s="40"/>
    </row>
    <row r="508" spans="10:18" ht="15.75" customHeight="1">
      <c r="J508" s="40"/>
      <c r="K508" s="40"/>
      <c r="L508" s="40"/>
      <c r="M508" s="40"/>
      <c r="N508" s="40"/>
      <c r="O508" s="40"/>
      <c r="P508" s="40"/>
      <c r="Q508" s="40"/>
      <c r="R508" s="40"/>
    </row>
    <row r="509" spans="10:18" ht="15.75" customHeight="1">
      <c r="J509" s="40"/>
      <c r="K509" s="40"/>
      <c r="L509" s="40"/>
      <c r="M509" s="40"/>
      <c r="N509" s="40"/>
      <c r="O509" s="40"/>
      <c r="P509" s="40"/>
      <c r="Q509" s="40"/>
      <c r="R509" s="40"/>
    </row>
    <row r="510" spans="10:18" ht="15.75" customHeight="1">
      <c r="J510" s="40"/>
      <c r="K510" s="40"/>
      <c r="L510" s="40"/>
      <c r="M510" s="40"/>
      <c r="N510" s="40"/>
      <c r="O510" s="40"/>
      <c r="P510" s="40"/>
      <c r="Q510" s="40"/>
      <c r="R510" s="40"/>
    </row>
    <row r="511" spans="10:18" ht="15.75" customHeight="1">
      <c r="J511" s="40"/>
      <c r="K511" s="40"/>
      <c r="L511" s="40"/>
      <c r="M511" s="40"/>
      <c r="N511" s="40"/>
      <c r="O511" s="40"/>
      <c r="P511" s="40"/>
      <c r="Q511" s="40"/>
      <c r="R511" s="40"/>
    </row>
    <row r="512" spans="10:18" ht="15.75" customHeight="1">
      <c r="J512" s="40"/>
      <c r="K512" s="40"/>
      <c r="L512" s="40"/>
      <c r="M512" s="40"/>
      <c r="N512" s="40"/>
      <c r="O512" s="40"/>
      <c r="P512" s="40"/>
      <c r="Q512" s="40"/>
      <c r="R512" s="40"/>
    </row>
    <row r="513" spans="10:18" ht="15.75" customHeight="1">
      <c r="J513" s="40"/>
      <c r="K513" s="40"/>
      <c r="L513" s="40"/>
      <c r="M513" s="40"/>
      <c r="N513" s="40"/>
      <c r="O513" s="40"/>
      <c r="P513" s="40"/>
      <c r="Q513" s="40"/>
      <c r="R513" s="40"/>
    </row>
    <row r="514" spans="10:18" ht="15.75" customHeight="1">
      <c r="J514" s="40"/>
      <c r="K514" s="40"/>
      <c r="L514" s="40"/>
      <c r="M514" s="40"/>
      <c r="N514" s="40"/>
      <c r="O514" s="40"/>
      <c r="P514" s="40"/>
      <c r="Q514" s="40"/>
      <c r="R514" s="40"/>
    </row>
    <row r="515" spans="10:18" ht="15.75" customHeight="1">
      <c r="J515" s="40"/>
      <c r="K515" s="40"/>
      <c r="L515" s="40"/>
      <c r="M515" s="40"/>
      <c r="N515" s="40"/>
      <c r="O515" s="40"/>
      <c r="P515" s="40"/>
      <c r="Q515" s="40"/>
      <c r="R515" s="40"/>
    </row>
    <row r="516" spans="10:18" ht="15.75" customHeight="1">
      <c r="J516" s="40"/>
      <c r="K516" s="40"/>
      <c r="L516" s="40"/>
      <c r="M516" s="40"/>
      <c r="N516" s="40"/>
      <c r="O516" s="40"/>
      <c r="P516" s="40"/>
      <c r="Q516" s="40"/>
      <c r="R516" s="40"/>
    </row>
    <row r="517" spans="10:18" ht="15.75" customHeight="1">
      <c r="J517" s="40"/>
      <c r="K517" s="40"/>
      <c r="L517" s="40"/>
      <c r="M517" s="40"/>
      <c r="N517" s="40"/>
      <c r="O517" s="40"/>
      <c r="P517" s="40"/>
      <c r="Q517" s="40"/>
      <c r="R517" s="40"/>
    </row>
    <row r="518" spans="10:18" ht="15.75" customHeight="1">
      <c r="J518" s="40"/>
      <c r="K518" s="40"/>
      <c r="L518" s="40"/>
      <c r="M518" s="40"/>
      <c r="N518" s="40"/>
      <c r="O518" s="40"/>
      <c r="P518" s="40"/>
      <c r="Q518" s="40"/>
      <c r="R518" s="40"/>
    </row>
    <row r="519" spans="10:18" ht="15.75" customHeight="1">
      <c r="J519" s="40"/>
      <c r="K519" s="40"/>
      <c r="L519" s="40"/>
      <c r="M519" s="40"/>
      <c r="N519" s="40"/>
      <c r="O519" s="40"/>
      <c r="P519" s="40"/>
      <c r="Q519" s="40"/>
      <c r="R519" s="40"/>
    </row>
    <row r="520" spans="10:18" ht="15.75" customHeight="1">
      <c r="J520" s="40"/>
      <c r="K520" s="40"/>
      <c r="L520" s="40"/>
      <c r="M520" s="40"/>
      <c r="N520" s="40"/>
      <c r="O520" s="40"/>
      <c r="P520" s="40"/>
      <c r="Q520" s="40"/>
      <c r="R520" s="40"/>
    </row>
    <row r="521" spans="10:18" ht="15.75" customHeight="1">
      <c r="J521" s="40"/>
      <c r="K521" s="40"/>
      <c r="L521" s="40"/>
      <c r="M521" s="40"/>
      <c r="N521" s="40"/>
      <c r="O521" s="40"/>
      <c r="P521" s="40"/>
      <c r="Q521" s="40"/>
      <c r="R521" s="40"/>
    </row>
    <row r="522" spans="10:18" ht="15.75" customHeight="1">
      <c r="J522" s="40"/>
      <c r="K522" s="40"/>
      <c r="L522" s="40"/>
      <c r="M522" s="40"/>
      <c r="N522" s="40"/>
      <c r="O522" s="40"/>
      <c r="P522" s="40"/>
      <c r="Q522" s="40"/>
      <c r="R522" s="40"/>
    </row>
    <row r="523" spans="10:18" ht="15.75" customHeight="1">
      <c r="J523" s="40"/>
      <c r="K523" s="40"/>
      <c r="L523" s="40"/>
      <c r="M523" s="40"/>
      <c r="N523" s="40"/>
      <c r="O523" s="40"/>
      <c r="P523" s="40"/>
      <c r="Q523" s="40"/>
      <c r="R523" s="40"/>
    </row>
    <row r="524" spans="10:18" ht="15.75" customHeight="1">
      <c r="J524" s="40"/>
      <c r="K524" s="40"/>
      <c r="L524" s="40"/>
      <c r="M524" s="40"/>
      <c r="N524" s="40"/>
      <c r="O524" s="40"/>
      <c r="P524" s="40"/>
      <c r="Q524" s="40"/>
      <c r="R524" s="40"/>
    </row>
    <row r="525" spans="10:18" ht="15.75" customHeight="1">
      <c r="J525" s="40"/>
      <c r="K525" s="40"/>
      <c r="L525" s="40"/>
      <c r="M525" s="40"/>
      <c r="N525" s="40"/>
      <c r="O525" s="40"/>
      <c r="P525" s="40"/>
      <c r="Q525" s="40"/>
      <c r="R525" s="40"/>
    </row>
    <row r="526" spans="10:18" ht="15.75" customHeight="1">
      <c r="J526" s="40"/>
      <c r="K526" s="40"/>
      <c r="L526" s="40"/>
      <c r="M526" s="40"/>
      <c r="N526" s="40"/>
      <c r="O526" s="40"/>
      <c r="P526" s="40"/>
      <c r="Q526" s="40"/>
      <c r="R526" s="40"/>
    </row>
    <row r="527" spans="10:18" ht="15.75" customHeight="1">
      <c r="J527" s="40"/>
      <c r="K527" s="40"/>
      <c r="L527" s="40"/>
      <c r="M527" s="40"/>
      <c r="N527" s="40"/>
      <c r="O527" s="40"/>
      <c r="P527" s="40"/>
      <c r="Q527" s="40"/>
      <c r="R527" s="40"/>
    </row>
    <row r="528" spans="10:18" ht="15.75" customHeight="1">
      <c r="J528" s="40"/>
      <c r="K528" s="40"/>
      <c r="L528" s="40"/>
      <c r="M528" s="40"/>
      <c r="N528" s="40"/>
      <c r="O528" s="40"/>
      <c r="P528" s="40"/>
      <c r="Q528" s="40"/>
      <c r="R528" s="40"/>
    </row>
    <row r="529" spans="10:18" ht="15.75" customHeight="1">
      <c r="J529" s="40"/>
      <c r="K529" s="40"/>
      <c r="L529" s="40"/>
      <c r="M529" s="40"/>
      <c r="N529" s="40"/>
      <c r="O529" s="40"/>
      <c r="P529" s="40"/>
      <c r="Q529" s="40"/>
      <c r="R529" s="40"/>
    </row>
    <row r="530" spans="10:18" ht="15.75" customHeight="1">
      <c r="J530" s="40"/>
      <c r="K530" s="40"/>
      <c r="L530" s="40"/>
      <c r="M530" s="40"/>
      <c r="N530" s="40"/>
      <c r="O530" s="40"/>
      <c r="P530" s="40"/>
      <c r="Q530" s="40"/>
      <c r="R530" s="40"/>
    </row>
    <row r="531" spans="10:18" ht="15.75" customHeight="1">
      <c r="J531" s="40"/>
      <c r="K531" s="40"/>
      <c r="L531" s="40"/>
      <c r="M531" s="40"/>
      <c r="N531" s="40"/>
      <c r="O531" s="40"/>
      <c r="P531" s="40"/>
      <c r="Q531" s="40"/>
      <c r="R531" s="40"/>
    </row>
    <row r="532" spans="10:18" ht="15.75" customHeight="1">
      <c r="J532" s="40"/>
      <c r="K532" s="40"/>
      <c r="L532" s="40"/>
      <c r="M532" s="40"/>
      <c r="N532" s="40"/>
      <c r="O532" s="40"/>
      <c r="P532" s="40"/>
      <c r="Q532" s="40"/>
      <c r="R532" s="40"/>
    </row>
    <row r="533" spans="10:18" ht="15.75" customHeight="1">
      <c r="J533" s="40"/>
      <c r="K533" s="40"/>
      <c r="L533" s="40"/>
      <c r="M533" s="40"/>
      <c r="N533" s="40"/>
      <c r="O533" s="40"/>
      <c r="P533" s="40"/>
      <c r="Q533" s="40"/>
      <c r="R533" s="40"/>
    </row>
    <row r="534" spans="10:18" ht="15.75" customHeight="1">
      <c r="J534" s="40"/>
      <c r="K534" s="40"/>
      <c r="L534" s="40"/>
      <c r="M534" s="40"/>
      <c r="N534" s="40"/>
      <c r="O534" s="40"/>
      <c r="P534" s="40"/>
      <c r="Q534" s="40"/>
      <c r="R534" s="40"/>
    </row>
    <row r="535" spans="10:18" ht="15.75" customHeight="1">
      <c r="J535" s="40"/>
      <c r="K535" s="40"/>
      <c r="L535" s="40"/>
      <c r="M535" s="40"/>
      <c r="N535" s="40"/>
      <c r="O535" s="40"/>
      <c r="P535" s="40"/>
      <c r="Q535" s="40"/>
      <c r="R535" s="40"/>
    </row>
    <row r="536" spans="10:18" ht="15.75" customHeight="1">
      <c r="J536" s="40"/>
      <c r="K536" s="40"/>
      <c r="L536" s="40"/>
      <c r="M536" s="40"/>
      <c r="N536" s="40"/>
      <c r="O536" s="40"/>
      <c r="P536" s="40"/>
      <c r="Q536" s="40"/>
      <c r="R536" s="40"/>
    </row>
    <row r="537" spans="10:18" ht="15.75" customHeight="1">
      <c r="J537" s="40"/>
      <c r="K537" s="40"/>
      <c r="L537" s="40"/>
      <c r="M537" s="40"/>
      <c r="N537" s="40"/>
      <c r="O537" s="40"/>
      <c r="P537" s="40"/>
      <c r="Q537" s="40"/>
      <c r="R537" s="40"/>
    </row>
    <row r="538" spans="10:18" ht="15.75" customHeight="1">
      <c r="J538" s="40"/>
      <c r="K538" s="40"/>
      <c r="L538" s="40"/>
      <c r="M538" s="40"/>
      <c r="N538" s="40"/>
      <c r="O538" s="40"/>
      <c r="P538" s="40"/>
      <c r="Q538" s="40"/>
      <c r="R538" s="40"/>
    </row>
    <row r="539" spans="10:18" ht="15.75" customHeight="1">
      <c r="J539" s="40"/>
      <c r="K539" s="40"/>
      <c r="L539" s="40"/>
      <c r="M539" s="40"/>
      <c r="N539" s="40"/>
      <c r="O539" s="40"/>
      <c r="P539" s="40"/>
      <c r="Q539" s="40"/>
      <c r="R539" s="40"/>
    </row>
    <row r="540" spans="10:18" ht="15.75" customHeight="1">
      <c r="J540" s="40"/>
      <c r="K540" s="40"/>
      <c r="L540" s="40"/>
      <c r="M540" s="40"/>
      <c r="N540" s="40"/>
      <c r="O540" s="40"/>
      <c r="P540" s="40"/>
      <c r="Q540" s="40"/>
      <c r="R540" s="40"/>
    </row>
    <row r="541" spans="10:18" ht="15.75" customHeight="1">
      <c r="J541" s="40"/>
      <c r="K541" s="40"/>
      <c r="L541" s="40"/>
      <c r="M541" s="40"/>
      <c r="N541" s="40"/>
      <c r="O541" s="40"/>
      <c r="P541" s="40"/>
      <c r="Q541" s="40"/>
      <c r="R541" s="40"/>
    </row>
    <row r="542" spans="10:18" ht="15.75" customHeight="1">
      <c r="J542" s="40"/>
      <c r="K542" s="40"/>
      <c r="L542" s="40"/>
      <c r="M542" s="40"/>
      <c r="N542" s="40"/>
      <c r="O542" s="40"/>
      <c r="P542" s="40"/>
      <c r="Q542" s="40"/>
      <c r="R542" s="40"/>
    </row>
    <row r="543" spans="10:18" ht="15.75" customHeight="1">
      <c r="J543" s="40"/>
      <c r="K543" s="40"/>
      <c r="L543" s="40"/>
      <c r="M543" s="40"/>
      <c r="N543" s="40"/>
      <c r="O543" s="40"/>
      <c r="P543" s="40"/>
      <c r="Q543" s="40"/>
      <c r="R543" s="40"/>
    </row>
    <row r="544" spans="10:18" ht="15.75" customHeight="1">
      <c r="J544" s="40"/>
      <c r="K544" s="40"/>
      <c r="L544" s="40"/>
      <c r="M544" s="40"/>
      <c r="N544" s="40"/>
      <c r="O544" s="40"/>
      <c r="P544" s="40"/>
      <c r="Q544" s="40"/>
      <c r="R544" s="40"/>
    </row>
    <row r="545" spans="10:18" ht="15.75" customHeight="1">
      <c r="J545" s="40"/>
      <c r="K545" s="40"/>
      <c r="L545" s="40"/>
      <c r="M545" s="40"/>
      <c r="N545" s="40"/>
      <c r="O545" s="40"/>
      <c r="P545" s="40"/>
      <c r="Q545" s="40"/>
      <c r="R545" s="40"/>
    </row>
    <row r="546" spans="10:18" ht="15.75" customHeight="1">
      <c r="J546" s="40"/>
      <c r="K546" s="40"/>
      <c r="L546" s="40"/>
      <c r="M546" s="40"/>
      <c r="N546" s="40"/>
      <c r="O546" s="40"/>
      <c r="P546" s="40"/>
      <c r="Q546" s="40"/>
      <c r="R546" s="40"/>
    </row>
    <row r="547" spans="10:18" ht="15.75" customHeight="1">
      <c r="J547" s="40"/>
      <c r="K547" s="40"/>
      <c r="L547" s="40"/>
      <c r="M547" s="40"/>
      <c r="N547" s="40"/>
      <c r="O547" s="40"/>
      <c r="P547" s="40"/>
      <c r="Q547" s="40"/>
      <c r="R547" s="40"/>
    </row>
    <row r="548" spans="10:18" ht="15.75" customHeight="1">
      <c r="J548" s="40"/>
      <c r="K548" s="40"/>
      <c r="L548" s="40"/>
      <c r="M548" s="40"/>
      <c r="N548" s="40"/>
      <c r="O548" s="40"/>
      <c r="P548" s="40"/>
      <c r="Q548" s="40"/>
      <c r="R548" s="40"/>
    </row>
    <row r="549" spans="10:18" ht="15.75" customHeight="1">
      <c r="J549" s="40"/>
      <c r="K549" s="40"/>
      <c r="L549" s="40"/>
      <c r="M549" s="40"/>
      <c r="N549" s="40"/>
      <c r="O549" s="40"/>
      <c r="P549" s="40"/>
      <c r="Q549" s="40"/>
      <c r="R549" s="40"/>
    </row>
    <row r="550" spans="10:18" ht="15.75" customHeight="1">
      <c r="J550" s="40"/>
      <c r="K550" s="40"/>
      <c r="L550" s="40"/>
      <c r="M550" s="40"/>
      <c r="N550" s="40"/>
      <c r="O550" s="40"/>
      <c r="P550" s="40"/>
      <c r="Q550" s="40"/>
      <c r="R550" s="40"/>
    </row>
    <row r="551" spans="10:18" ht="15.75" customHeight="1">
      <c r="J551" s="40"/>
      <c r="K551" s="40"/>
      <c r="L551" s="40"/>
      <c r="M551" s="40"/>
      <c r="N551" s="40"/>
      <c r="O551" s="40"/>
      <c r="P551" s="40"/>
      <c r="Q551" s="40"/>
      <c r="R551" s="40"/>
    </row>
    <row r="552" spans="10:18" ht="15.75" customHeight="1">
      <c r="J552" s="40"/>
      <c r="K552" s="40"/>
      <c r="L552" s="40"/>
      <c r="M552" s="40"/>
      <c r="N552" s="40"/>
      <c r="O552" s="40"/>
      <c r="P552" s="40"/>
      <c r="Q552" s="40"/>
      <c r="R552" s="40"/>
    </row>
    <row r="553" spans="10:18" ht="15.75" customHeight="1">
      <c r="J553" s="40"/>
      <c r="K553" s="40"/>
      <c r="L553" s="40"/>
      <c r="M553" s="40"/>
      <c r="N553" s="40"/>
      <c r="O553" s="40"/>
      <c r="P553" s="40"/>
      <c r="Q553" s="40"/>
      <c r="R553" s="40"/>
    </row>
    <row r="554" spans="10:18" ht="15.75" customHeight="1">
      <c r="J554" s="40"/>
      <c r="K554" s="40"/>
      <c r="L554" s="40"/>
      <c r="M554" s="40"/>
      <c r="N554" s="40"/>
      <c r="O554" s="40"/>
      <c r="P554" s="40"/>
      <c r="Q554" s="40"/>
      <c r="R554" s="40"/>
    </row>
    <row r="555" spans="10:18" ht="15.75" customHeight="1">
      <c r="J555" s="40"/>
      <c r="K555" s="40"/>
      <c r="L555" s="40"/>
      <c r="M555" s="40"/>
      <c r="N555" s="40"/>
      <c r="O555" s="40"/>
      <c r="P555" s="40"/>
      <c r="Q555" s="40"/>
      <c r="R555" s="40"/>
    </row>
    <row r="556" spans="10:18" ht="15.75" customHeight="1">
      <c r="J556" s="40"/>
      <c r="K556" s="40"/>
      <c r="L556" s="40"/>
      <c r="M556" s="40"/>
      <c r="N556" s="40"/>
      <c r="O556" s="40"/>
      <c r="P556" s="40"/>
      <c r="Q556" s="40"/>
      <c r="R556" s="40"/>
    </row>
    <row r="557" spans="10:18" ht="15.75" customHeight="1">
      <c r="J557" s="40"/>
      <c r="K557" s="40"/>
      <c r="L557" s="40"/>
      <c r="M557" s="40"/>
      <c r="N557" s="40"/>
      <c r="O557" s="40"/>
      <c r="P557" s="40"/>
      <c r="Q557" s="40"/>
      <c r="R557" s="40"/>
    </row>
    <row r="558" spans="10:18" ht="15.75" customHeight="1">
      <c r="J558" s="40"/>
      <c r="K558" s="40"/>
      <c r="L558" s="40"/>
      <c r="M558" s="40"/>
      <c r="N558" s="40"/>
      <c r="O558" s="40"/>
      <c r="P558" s="40"/>
      <c r="Q558" s="40"/>
      <c r="R558" s="40"/>
    </row>
    <row r="559" spans="10:18" ht="15.75" customHeight="1">
      <c r="J559" s="40"/>
      <c r="K559" s="40"/>
      <c r="L559" s="40"/>
      <c r="M559" s="40"/>
      <c r="N559" s="40"/>
      <c r="O559" s="40"/>
      <c r="P559" s="40"/>
      <c r="Q559" s="40"/>
      <c r="R559" s="40"/>
    </row>
    <row r="560" spans="10:18" ht="15.75" customHeight="1">
      <c r="J560" s="40"/>
      <c r="K560" s="40"/>
      <c r="L560" s="40"/>
      <c r="M560" s="40"/>
      <c r="N560" s="40"/>
      <c r="O560" s="40"/>
      <c r="P560" s="40"/>
      <c r="Q560" s="40"/>
      <c r="R560" s="40"/>
    </row>
    <row r="561" spans="10:18" ht="15.75" customHeight="1">
      <c r="J561" s="40"/>
      <c r="K561" s="40"/>
      <c r="L561" s="40"/>
      <c r="M561" s="40"/>
      <c r="N561" s="40"/>
      <c r="O561" s="40"/>
      <c r="P561" s="40"/>
      <c r="Q561" s="40"/>
      <c r="R561" s="40"/>
    </row>
    <row r="562" spans="10:18" ht="15.75" customHeight="1">
      <c r="J562" s="40"/>
      <c r="K562" s="40"/>
      <c r="L562" s="40"/>
      <c r="M562" s="40"/>
      <c r="N562" s="40"/>
      <c r="O562" s="40"/>
      <c r="P562" s="40"/>
      <c r="Q562" s="40"/>
      <c r="R562" s="40"/>
    </row>
    <row r="563" spans="10:18" ht="15.75" customHeight="1">
      <c r="J563" s="40"/>
      <c r="K563" s="40"/>
      <c r="L563" s="40"/>
      <c r="M563" s="40"/>
      <c r="N563" s="40"/>
      <c r="O563" s="40"/>
      <c r="P563" s="40"/>
      <c r="Q563" s="40"/>
      <c r="R563" s="40"/>
    </row>
    <row r="564" spans="10:18" ht="15.75" customHeight="1">
      <c r="J564" s="40"/>
      <c r="K564" s="40"/>
      <c r="L564" s="40"/>
      <c r="M564" s="40"/>
      <c r="N564" s="40"/>
      <c r="O564" s="40"/>
      <c r="P564" s="40"/>
      <c r="Q564" s="40"/>
      <c r="R564" s="40"/>
    </row>
    <row r="565" spans="10:18" ht="15.75" customHeight="1">
      <c r="J565" s="40"/>
      <c r="K565" s="40"/>
      <c r="L565" s="40"/>
      <c r="M565" s="40"/>
      <c r="N565" s="40"/>
      <c r="O565" s="40"/>
      <c r="P565" s="40"/>
      <c r="Q565" s="40"/>
      <c r="R565" s="40"/>
    </row>
    <row r="566" spans="10:18" ht="15.75" customHeight="1">
      <c r="J566" s="40"/>
      <c r="K566" s="40"/>
      <c r="L566" s="40"/>
      <c r="M566" s="40"/>
      <c r="N566" s="40"/>
      <c r="O566" s="40"/>
      <c r="P566" s="40"/>
      <c r="Q566" s="40"/>
      <c r="R566" s="40"/>
    </row>
    <row r="567" spans="10:18" ht="15.75" customHeight="1">
      <c r="J567" s="40"/>
      <c r="K567" s="40"/>
      <c r="L567" s="40"/>
      <c r="M567" s="40"/>
      <c r="N567" s="40"/>
      <c r="O567" s="40"/>
      <c r="P567" s="40"/>
      <c r="Q567" s="40"/>
      <c r="R567" s="40"/>
    </row>
    <row r="568" spans="10:18" ht="15.75" customHeight="1">
      <c r="J568" s="40"/>
      <c r="K568" s="40"/>
      <c r="L568" s="40"/>
      <c r="M568" s="40"/>
      <c r="N568" s="40"/>
      <c r="O568" s="40"/>
      <c r="P568" s="40"/>
      <c r="Q568" s="40"/>
      <c r="R568" s="40"/>
    </row>
    <row r="569" spans="10:18" ht="15.75" customHeight="1">
      <c r="J569" s="40"/>
      <c r="K569" s="40"/>
      <c r="L569" s="40"/>
      <c r="M569" s="40"/>
      <c r="N569" s="40"/>
      <c r="O569" s="40"/>
      <c r="P569" s="40"/>
      <c r="Q569" s="40"/>
      <c r="R569" s="40"/>
    </row>
    <row r="570" spans="10:18" ht="15.75" customHeight="1">
      <c r="J570" s="40"/>
      <c r="K570" s="40"/>
      <c r="L570" s="40"/>
      <c r="M570" s="40"/>
      <c r="N570" s="40"/>
      <c r="O570" s="40"/>
      <c r="P570" s="40"/>
      <c r="Q570" s="40"/>
      <c r="R570" s="40"/>
    </row>
    <row r="571" spans="10:18" ht="15.75" customHeight="1">
      <c r="J571" s="40"/>
      <c r="K571" s="40"/>
      <c r="L571" s="40"/>
      <c r="M571" s="40"/>
      <c r="N571" s="40"/>
      <c r="O571" s="40"/>
      <c r="P571" s="40"/>
      <c r="Q571" s="40"/>
      <c r="R571" s="40"/>
    </row>
    <row r="572" spans="10:18" ht="15.75" customHeight="1">
      <c r="J572" s="40"/>
      <c r="K572" s="40"/>
      <c r="L572" s="40"/>
      <c r="M572" s="40"/>
      <c r="N572" s="40"/>
      <c r="O572" s="40"/>
      <c r="P572" s="40"/>
      <c r="Q572" s="40"/>
      <c r="R572" s="40"/>
    </row>
    <row r="573" spans="10:18" ht="15.75" customHeight="1">
      <c r="J573" s="40"/>
      <c r="K573" s="40"/>
      <c r="L573" s="40"/>
      <c r="M573" s="40"/>
      <c r="N573" s="40"/>
      <c r="O573" s="40"/>
      <c r="P573" s="40"/>
      <c r="Q573" s="40"/>
      <c r="R573" s="40"/>
    </row>
    <row r="574" spans="10:18" ht="15.75" customHeight="1">
      <c r="J574" s="40"/>
      <c r="K574" s="40"/>
      <c r="L574" s="40"/>
      <c r="M574" s="40"/>
      <c r="N574" s="40"/>
      <c r="O574" s="40"/>
      <c r="P574" s="40"/>
      <c r="Q574" s="40"/>
      <c r="R574" s="40"/>
    </row>
    <row r="575" spans="10:18" ht="15.75" customHeight="1">
      <c r="J575" s="40"/>
      <c r="K575" s="40"/>
      <c r="L575" s="40"/>
      <c r="M575" s="40"/>
      <c r="N575" s="40"/>
      <c r="O575" s="40"/>
      <c r="P575" s="40"/>
      <c r="Q575" s="40"/>
      <c r="R575" s="40"/>
    </row>
    <row r="576" spans="10:18" ht="15.75" customHeight="1">
      <c r="J576" s="40"/>
      <c r="K576" s="40"/>
      <c r="L576" s="40"/>
      <c r="M576" s="40"/>
      <c r="N576" s="40"/>
      <c r="O576" s="40"/>
      <c r="P576" s="40"/>
      <c r="Q576" s="40"/>
      <c r="R576" s="40"/>
    </row>
    <row r="577" spans="10:18" ht="15.75" customHeight="1">
      <c r="J577" s="40"/>
      <c r="K577" s="40"/>
      <c r="L577" s="40"/>
      <c r="M577" s="40"/>
      <c r="N577" s="40"/>
      <c r="O577" s="40"/>
      <c r="P577" s="40"/>
      <c r="Q577" s="40"/>
      <c r="R577" s="40"/>
    </row>
    <row r="578" spans="10:18" ht="15.75" customHeight="1">
      <c r="J578" s="40"/>
      <c r="K578" s="40"/>
      <c r="L578" s="40"/>
      <c r="M578" s="40"/>
      <c r="N578" s="40"/>
      <c r="O578" s="40"/>
      <c r="P578" s="40"/>
      <c r="Q578" s="40"/>
      <c r="R578" s="40"/>
    </row>
    <row r="579" spans="10:18" ht="15.75" customHeight="1">
      <c r="J579" s="40"/>
      <c r="K579" s="40"/>
      <c r="L579" s="40"/>
      <c r="M579" s="40"/>
      <c r="N579" s="40"/>
      <c r="O579" s="40"/>
      <c r="P579" s="40"/>
      <c r="Q579" s="40"/>
      <c r="R579" s="40"/>
    </row>
    <row r="580" spans="10:18" ht="15.75" customHeight="1">
      <c r="J580" s="40"/>
      <c r="K580" s="40"/>
      <c r="L580" s="40"/>
      <c r="M580" s="40"/>
      <c r="N580" s="40"/>
      <c r="O580" s="40"/>
      <c r="P580" s="40"/>
      <c r="Q580" s="40"/>
      <c r="R580" s="40"/>
    </row>
    <row r="581" spans="10:18" ht="15.75" customHeight="1">
      <c r="J581" s="40"/>
      <c r="K581" s="40"/>
      <c r="L581" s="40"/>
      <c r="M581" s="40"/>
      <c r="N581" s="40"/>
      <c r="O581" s="40"/>
      <c r="P581" s="40"/>
      <c r="Q581" s="40"/>
      <c r="R581" s="40"/>
    </row>
    <row r="582" spans="10:18" ht="15.75" customHeight="1">
      <c r="J582" s="40"/>
      <c r="K582" s="40"/>
      <c r="L582" s="40"/>
      <c r="M582" s="40"/>
      <c r="N582" s="40"/>
      <c r="O582" s="40"/>
      <c r="P582" s="40"/>
      <c r="Q582" s="40"/>
      <c r="R582" s="40"/>
    </row>
    <row r="583" spans="10:18" ht="15.75" customHeight="1">
      <c r="J583" s="40"/>
      <c r="K583" s="40"/>
      <c r="L583" s="40"/>
      <c r="M583" s="40"/>
      <c r="N583" s="40"/>
      <c r="O583" s="40"/>
      <c r="P583" s="40"/>
      <c r="Q583" s="40"/>
      <c r="R583" s="40"/>
    </row>
    <row r="584" spans="10:18" ht="15.75" customHeight="1">
      <c r="J584" s="40"/>
      <c r="K584" s="40"/>
      <c r="L584" s="40"/>
      <c r="M584" s="40"/>
      <c r="N584" s="40"/>
      <c r="O584" s="40"/>
      <c r="P584" s="40"/>
      <c r="Q584" s="40"/>
      <c r="R584" s="40"/>
    </row>
    <row r="585" spans="10:18" ht="15.75" customHeight="1">
      <c r="J585" s="40"/>
      <c r="K585" s="40"/>
      <c r="L585" s="40"/>
      <c r="M585" s="40"/>
      <c r="N585" s="40"/>
      <c r="O585" s="40"/>
      <c r="P585" s="40"/>
      <c r="Q585" s="40"/>
      <c r="R585" s="40"/>
    </row>
    <row r="586" spans="10:18" ht="15.75" customHeight="1">
      <c r="J586" s="40"/>
      <c r="K586" s="40"/>
      <c r="L586" s="40"/>
      <c r="M586" s="40"/>
      <c r="N586" s="40"/>
      <c r="O586" s="40"/>
      <c r="P586" s="40"/>
      <c r="Q586" s="40"/>
      <c r="R586" s="40"/>
    </row>
    <row r="587" spans="10:18" ht="15.75" customHeight="1">
      <c r="J587" s="40"/>
      <c r="K587" s="40"/>
      <c r="L587" s="40"/>
      <c r="M587" s="40"/>
      <c r="N587" s="40"/>
      <c r="O587" s="40"/>
      <c r="P587" s="40"/>
      <c r="Q587" s="40"/>
      <c r="R587" s="40"/>
    </row>
    <row r="588" spans="10:18" ht="15.75" customHeight="1">
      <c r="J588" s="40"/>
      <c r="K588" s="40"/>
      <c r="L588" s="40"/>
      <c r="M588" s="40"/>
      <c r="N588" s="40"/>
      <c r="O588" s="40"/>
      <c r="P588" s="40"/>
      <c r="Q588" s="40"/>
      <c r="R588" s="40"/>
    </row>
    <row r="589" spans="10:18" ht="15.75" customHeight="1">
      <c r="J589" s="40"/>
      <c r="K589" s="40"/>
      <c r="L589" s="40"/>
      <c r="M589" s="40"/>
      <c r="N589" s="40"/>
      <c r="O589" s="40"/>
      <c r="P589" s="40"/>
      <c r="Q589" s="40"/>
      <c r="R589" s="40"/>
    </row>
    <row r="590" spans="10:18" ht="15.75" customHeight="1">
      <c r="J590" s="40"/>
      <c r="K590" s="40"/>
      <c r="L590" s="40"/>
      <c r="M590" s="40"/>
      <c r="N590" s="40"/>
      <c r="O590" s="40"/>
      <c r="P590" s="40"/>
      <c r="Q590" s="40"/>
      <c r="R590" s="40"/>
    </row>
    <row r="591" spans="10:18" ht="15.75" customHeight="1">
      <c r="J591" s="40"/>
      <c r="K591" s="40"/>
      <c r="L591" s="40"/>
      <c r="M591" s="40"/>
      <c r="N591" s="40"/>
      <c r="O591" s="40"/>
      <c r="P591" s="40"/>
      <c r="Q591" s="40"/>
      <c r="R591" s="40"/>
    </row>
    <row r="592" spans="10:18" ht="15.75" customHeight="1">
      <c r="J592" s="40"/>
      <c r="K592" s="40"/>
      <c r="L592" s="40"/>
      <c r="M592" s="40"/>
      <c r="N592" s="40"/>
      <c r="O592" s="40"/>
      <c r="P592" s="40"/>
      <c r="Q592" s="40"/>
      <c r="R592" s="40"/>
    </row>
    <row r="593" spans="10:18" ht="15.75" customHeight="1">
      <c r="J593" s="40"/>
      <c r="K593" s="40"/>
      <c r="L593" s="40"/>
      <c r="M593" s="40"/>
      <c r="N593" s="40"/>
      <c r="O593" s="40"/>
      <c r="P593" s="40"/>
      <c r="Q593" s="40"/>
      <c r="R593" s="40"/>
    </row>
    <row r="594" spans="10:18" ht="15.75" customHeight="1">
      <c r="J594" s="40"/>
      <c r="K594" s="40"/>
      <c r="L594" s="40"/>
      <c r="M594" s="40"/>
      <c r="N594" s="40"/>
      <c r="O594" s="40"/>
      <c r="P594" s="40"/>
      <c r="Q594" s="40"/>
      <c r="R594" s="40"/>
    </row>
    <row r="595" spans="10:18" ht="15.75" customHeight="1">
      <c r="J595" s="40"/>
      <c r="K595" s="40"/>
      <c r="L595" s="40"/>
      <c r="M595" s="40"/>
      <c r="N595" s="40"/>
      <c r="O595" s="40"/>
      <c r="P595" s="40"/>
      <c r="Q595" s="40"/>
      <c r="R595" s="40"/>
    </row>
    <row r="596" spans="10:18" ht="15.75" customHeight="1">
      <c r="J596" s="40"/>
      <c r="K596" s="40"/>
      <c r="L596" s="40"/>
      <c r="M596" s="40"/>
      <c r="N596" s="40"/>
      <c r="O596" s="40"/>
      <c r="P596" s="40"/>
      <c r="Q596" s="40"/>
      <c r="R596" s="40"/>
    </row>
    <row r="597" spans="10:18" ht="15.75" customHeight="1">
      <c r="J597" s="40"/>
      <c r="K597" s="40"/>
      <c r="L597" s="40"/>
      <c r="M597" s="40"/>
      <c r="N597" s="40"/>
      <c r="O597" s="40"/>
      <c r="P597" s="40"/>
      <c r="Q597" s="40"/>
      <c r="R597" s="40"/>
    </row>
    <row r="598" spans="10:18" ht="15.75" customHeight="1">
      <c r="J598" s="40"/>
      <c r="K598" s="40"/>
      <c r="L598" s="40"/>
      <c r="M598" s="40"/>
      <c r="N598" s="40"/>
      <c r="O598" s="40"/>
      <c r="P598" s="40"/>
      <c r="Q598" s="40"/>
      <c r="R598" s="40"/>
    </row>
    <row r="599" spans="10:18" ht="15.75" customHeight="1">
      <c r="J599" s="40"/>
      <c r="K599" s="40"/>
      <c r="L599" s="40"/>
      <c r="M599" s="40"/>
      <c r="N599" s="40"/>
      <c r="O599" s="40"/>
      <c r="P599" s="40"/>
      <c r="Q599" s="40"/>
      <c r="R599" s="40"/>
    </row>
    <row r="600" spans="10:18" ht="15.75" customHeight="1">
      <c r="J600" s="40"/>
      <c r="K600" s="40"/>
      <c r="L600" s="40"/>
      <c r="M600" s="40"/>
      <c r="N600" s="40"/>
      <c r="O600" s="40"/>
      <c r="P600" s="40"/>
      <c r="Q600" s="40"/>
      <c r="R600" s="40"/>
    </row>
    <row r="601" spans="10:18" ht="15.75" customHeight="1">
      <c r="J601" s="40"/>
      <c r="K601" s="40"/>
      <c r="L601" s="40"/>
      <c r="M601" s="40"/>
      <c r="N601" s="40"/>
      <c r="O601" s="40"/>
      <c r="P601" s="40"/>
      <c r="Q601" s="40"/>
      <c r="R601" s="40"/>
    </row>
    <row r="602" spans="10:18" ht="15.75" customHeight="1">
      <c r="J602" s="40"/>
      <c r="K602" s="40"/>
      <c r="L602" s="40"/>
      <c r="M602" s="40"/>
      <c r="N602" s="40"/>
      <c r="O602" s="40"/>
      <c r="P602" s="40"/>
      <c r="Q602" s="40"/>
      <c r="R602" s="40"/>
    </row>
    <row r="603" spans="10:18" ht="15.75" customHeight="1">
      <c r="J603" s="40"/>
      <c r="K603" s="40"/>
      <c r="L603" s="40"/>
      <c r="M603" s="40"/>
      <c r="N603" s="40"/>
      <c r="O603" s="40"/>
      <c r="P603" s="40"/>
      <c r="Q603" s="40"/>
      <c r="R603" s="40"/>
    </row>
    <row r="604" spans="10:18" ht="15.75" customHeight="1">
      <c r="J604" s="40"/>
      <c r="K604" s="40"/>
      <c r="L604" s="40"/>
      <c r="M604" s="40"/>
      <c r="N604" s="40"/>
      <c r="O604" s="40"/>
      <c r="P604" s="40"/>
      <c r="Q604" s="40"/>
      <c r="R604" s="40"/>
    </row>
    <row r="605" spans="10:18" ht="15.75" customHeight="1">
      <c r="J605" s="40"/>
      <c r="K605" s="40"/>
      <c r="L605" s="40"/>
      <c r="M605" s="40"/>
      <c r="N605" s="40"/>
      <c r="O605" s="40"/>
      <c r="P605" s="40"/>
      <c r="Q605" s="40"/>
      <c r="R605" s="40"/>
    </row>
    <row r="606" spans="10:18" ht="15.75" customHeight="1">
      <c r="J606" s="40"/>
      <c r="K606" s="40"/>
      <c r="L606" s="40"/>
      <c r="M606" s="40"/>
      <c r="N606" s="40"/>
      <c r="O606" s="40"/>
      <c r="P606" s="40"/>
      <c r="Q606" s="40"/>
      <c r="R606" s="40"/>
    </row>
    <row r="607" spans="10:18" ht="15.75" customHeight="1">
      <c r="J607" s="40"/>
      <c r="K607" s="40"/>
      <c r="L607" s="40"/>
      <c r="M607" s="40"/>
      <c r="N607" s="40"/>
      <c r="O607" s="40"/>
      <c r="P607" s="40"/>
      <c r="Q607" s="40"/>
      <c r="R607" s="40"/>
    </row>
    <row r="608" spans="10:18" ht="15.75" customHeight="1">
      <c r="J608" s="40"/>
      <c r="K608" s="40"/>
      <c r="L608" s="40"/>
      <c r="M608" s="40"/>
      <c r="N608" s="40"/>
      <c r="O608" s="40"/>
      <c r="P608" s="40"/>
      <c r="Q608" s="40"/>
      <c r="R608" s="40"/>
    </row>
    <row r="609" spans="10:18" ht="15.75" customHeight="1">
      <c r="J609" s="40"/>
      <c r="K609" s="40"/>
      <c r="L609" s="40"/>
      <c r="M609" s="40"/>
      <c r="N609" s="40"/>
      <c r="O609" s="40"/>
      <c r="P609" s="40"/>
      <c r="Q609" s="40"/>
      <c r="R609" s="40"/>
    </row>
    <row r="610" spans="10:18" ht="15.75" customHeight="1">
      <c r="J610" s="40"/>
      <c r="K610" s="40"/>
      <c r="L610" s="40"/>
      <c r="M610" s="40"/>
      <c r="N610" s="40"/>
      <c r="O610" s="40"/>
      <c r="P610" s="40"/>
      <c r="Q610" s="40"/>
      <c r="R610" s="40"/>
    </row>
    <row r="611" spans="10:18" ht="15.75" customHeight="1">
      <c r="J611" s="40"/>
      <c r="K611" s="40"/>
      <c r="L611" s="40"/>
      <c r="M611" s="40"/>
      <c r="N611" s="40"/>
      <c r="O611" s="40"/>
      <c r="P611" s="40"/>
      <c r="Q611" s="40"/>
      <c r="R611" s="40"/>
    </row>
    <row r="612" spans="10:18" ht="15.75" customHeight="1">
      <c r="J612" s="40"/>
      <c r="K612" s="40"/>
      <c r="L612" s="40"/>
      <c r="M612" s="40"/>
      <c r="N612" s="40"/>
      <c r="O612" s="40"/>
      <c r="P612" s="40"/>
      <c r="Q612" s="40"/>
      <c r="R612" s="40"/>
    </row>
    <row r="613" spans="10:18" ht="15.75" customHeight="1">
      <c r="J613" s="40"/>
      <c r="K613" s="40"/>
      <c r="L613" s="40"/>
      <c r="M613" s="40"/>
      <c r="N613" s="40"/>
      <c r="O613" s="40"/>
      <c r="P613" s="40"/>
      <c r="Q613" s="40"/>
      <c r="R613" s="40"/>
    </row>
    <row r="614" spans="10:18" ht="15.75" customHeight="1">
      <c r="J614" s="40"/>
      <c r="K614" s="40"/>
      <c r="L614" s="40"/>
      <c r="M614" s="40"/>
      <c r="N614" s="40"/>
      <c r="O614" s="40"/>
      <c r="P614" s="40"/>
      <c r="Q614" s="40"/>
      <c r="R614" s="40"/>
    </row>
    <row r="615" spans="10:18" ht="15.75" customHeight="1">
      <c r="J615" s="40"/>
      <c r="K615" s="40"/>
      <c r="L615" s="40"/>
      <c r="M615" s="40"/>
      <c r="N615" s="40"/>
      <c r="O615" s="40"/>
      <c r="P615" s="40"/>
      <c r="Q615" s="40"/>
      <c r="R615" s="40"/>
    </row>
    <row r="616" spans="10:18" ht="15.75" customHeight="1">
      <c r="J616" s="40"/>
      <c r="K616" s="40"/>
      <c r="L616" s="40"/>
      <c r="M616" s="40"/>
      <c r="N616" s="40"/>
      <c r="O616" s="40"/>
      <c r="P616" s="40"/>
      <c r="Q616" s="40"/>
      <c r="R616" s="40"/>
    </row>
    <row r="617" spans="10:18" ht="15.75" customHeight="1">
      <c r="J617" s="40"/>
      <c r="K617" s="40"/>
      <c r="L617" s="40"/>
      <c r="M617" s="40"/>
      <c r="N617" s="40"/>
      <c r="O617" s="40"/>
      <c r="P617" s="40"/>
      <c r="Q617" s="40"/>
      <c r="R617" s="40"/>
    </row>
    <row r="618" spans="10:18" ht="15.75" customHeight="1">
      <c r="J618" s="40"/>
      <c r="K618" s="40"/>
      <c r="L618" s="40"/>
      <c r="M618" s="40"/>
      <c r="N618" s="40"/>
      <c r="O618" s="40"/>
      <c r="P618" s="40"/>
      <c r="Q618" s="40"/>
      <c r="R618" s="40"/>
    </row>
    <row r="619" spans="10:18" ht="15.75" customHeight="1">
      <c r="J619" s="40"/>
      <c r="K619" s="40"/>
      <c r="L619" s="40"/>
      <c r="M619" s="40"/>
      <c r="N619" s="40"/>
      <c r="O619" s="40"/>
      <c r="P619" s="40"/>
      <c r="Q619" s="40"/>
      <c r="R619" s="40"/>
    </row>
    <row r="620" spans="10:18" ht="15.75" customHeight="1">
      <c r="J620" s="40"/>
      <c r="K620" s="40"/>
      <c r="L620" s="40"/>
      <c r="M620" s="40"/>
      <c r="N620" s="40"/>
      <c r="O620" s="40"/>
      <c r="P620" s="40"/>
      <c r="Q620" s="40"/>
      <c r="R620" s="40"/>
    </row>
    <row r="621" spans="10:18" ht="15.75" customHeight="1">
      <c r="J621" s="40"/>
      <c r="K621" s="40"/>
      <c r="L621" s="40"/>
      <c r="M621" s="40"/>
      <c r="N621" s="40"/>
      <c r="O621" s="40"/>
      <c r="P621" s="40"/>
      <c r="Q621" s="40"/>
      <c r="R621" s="40"/>
    </row>
    <row r="622" spans="10:18" ht="15.75" customHeight="1">
      <c r="J622" s="40"/>
      <c r="K622" s="40"/>
      <c r="L622" s="40"/>
      <c r="M622" s="40"/>
      <c r="N622" s="40"/>
      <c r="O622" s="40"/>
      <c r="P622" s="40"/>
      <c r="Q622" s="40"/>
      <c r="R622" s="40"/>
    </row>
    <row r="623" spans="10:18" ht="15.75" customHeight="1">
      <c r="J623" s="40"/>
      <c r="K623" s="40"/>
      <c r="L623" s="40"/>
      <c r="M623" s="40"/>
      <c r="N623" s="40"/>
      <c r="O623" s="40"/>
      <c r="P623" s="40"/>
      <c r="Q623" s="40"/>
      <c r="R623" s="40"/>
    </row>
    <row r="624" spans="10:18" ht="15.75" customHeight="1">
      <c r="J624" s="40"/>
      <c r="K624" s="40"/>
      <c r="L624" s="40"/>
      <c r="M624" s="40"/>
      <c r="N624" s="40"/>
      <c r="O624" s="40"/>
      <c r="P624" s="40"/>
      <c r="Q624" s="40"/>
      <c r="R624" s="40"/>
    </row>
    <row r="625" spans="10:18" ht="15.75" customHeight="1">
      <c r="J625" s="40"/>
      <c r="K625" s="40"/>
      <c r="L625" s="40"/>
      <c r="M625" s="40"/>
      <c r="N625" s="40"/>
      <c r="O625" s="40"/>
      <c r="P625" s="40"/>
      <c r="Q625" s="40"/>
      <c r="R625" s="40"/>
    </row>
    <row r="626" spans="10:18" ht="15.75" customHeight="1">
      <c r="J626" s="40"/>
      <c r="K626" s="40"/>
      <c r="L626" s="40"/>
      <c r="M626" s="40"/>
      <c r="N626" s="40"/>
      <c r="O626" s="40"/>
      <c r="P626" s="40"/>
      <c r="Q626" s="40"/>
      <c r="R626" s="40"/>
    </row>
    <row r="627" spans="10:18" ht="15.75" customHeight="1">
      <c r="J627" s="40"/>
      <c r="K627" s="40"/>
      <c r="L627" s="40"/>
      <c r="M627" s="40"/>
      <c r="N627" s="40"/>
      <c r="O627" s="40"/>
      <c r="P627" s="40"/>
      <c r="Q627" s="40"/>
      <c r="R627" s="40"/>
    </row>
    <row r="628" spans="10:18" ht="15.75" customHeight="1">
      <c r="J628" s="40"/>
      <c r="K628" s="40"/>
      <c r="L628" s="40"/>
      <c r="M628" s="40"/>
      <c r="N628" s="40"/>
      <c r="O628" s="40"/>
      <c r="P628" s="40"/>
      <c r="Q628" s="40"/>
      <c r="R628" s="40"/>
    </row>
    <row r="629" spans="10:18" ht="15.75" customHeight="1">
      <c r="J629" s="40"/>
      <c r="K629" s="40"/>
      <c r="L629" s="40"/>
      <c r="M629" s="40"/>
      <c r="N629" s="40"/>
      <c r="O629" s="40"/>
      <c r="P629" s="40"/>
      <c r="Q629" s="40"/>
      <c r="R629" s="40"/>
    </row>
    <row r="630" spans="10:18" ht="15.75" customHeight="1">
      <c r="J630" s="40"/>
      <c r="K630" s="40"/>
      <c r="L630" s="40"/>
      <c r="M630" s="40"/>
      <c r="N630" s="40"/>
      <c r="O630" s="40"/>
      <c r="P630" s="40"/>
      <c r="Q630" s="40"/>
      <c r="R630" s="40"/>
    </row>
    <row r="631" spans="10:18" ht="15.75" customHeight="1">
      <c r="J631" s="40"/>
      <c r="K631" s="40"/>
      <c r="L631" s="40"/>
      <c r="M631" s="40"/>
      <c r="N631" s="40"/>
      <c r="O631" s="40"/>
      <c r="P631" s="40"/>
      <c r="Q631" s="40"/>
      <c r="R631" s="40"/>
    </row>
    <row r="632" spans="10:18" ht="15.75" customHeight="1">
      <c r="J632" s="40"/>
      <c r="K632" s="40"/>
      <c r="L632" s="40"/>
      <c r="M632" s="40"/>
      <c r="N632" s="40"/>
      <c r="O632" s="40"/>
      <c r="P632" s="40"/>
      <c r="Q632" s="40"/>
      <c r="R632" s="40"/>
    </row>
    <row r="633" spans="10:18" ht="15.75" customHeight="1">
      <c r="J633" s="40"/>
      <c r="K633" s="40"/>
      <c r="L633" s="40"/>
      <c r="M633" s="40"/>
      <c r="N633" s="40"/>
      <c r="O633" s="40"/>
      <c r="P633" s="40"/>
      <c r="Q633" s="40"/>
      <c r="R633" s="40"/>
    </row>
    <row r="634" spans="10:18" ht="15.75" customHeight="1">
      <c r="J634" s="40"/>
      <c r="K634" s="40"/>
      <c r="L634" s="40"/>
      <c r="M634" s="40"/>
      <c r="N634" s="40"/>
      <c r="O634" s="40"/>
      <c r="P634" s="40"/>
      <c r="Q634" s="40"/>
      <c r="R634" s="40"/>
    </row>
    <row r="635" spans="10:18" ht="15.75" customHeight="1">
      <c r="J635" s="40"/>
      <c r="K635" s="40"/>
      <c r="L635" s="40"/>
      <c r="M635" s="40"/>
      <c r="N635" s="40"/>
      <c r="O635" s="40"/>
      <c r="P635" s="40"/>
      <c r="Q635" s="40"/>
      <c r="R635" s="40"/>
    </row>
    <row r="636" spans="10:18" ht="15.75" customHeight="1">
      <c r="J636" s="40"/>
      <c r="K636" s="40"/>
      <c r="L636" s="40"/>
      <c r="M636" s="40"/>
      <c r="N636" s="40"/>
      <c r="O636" s="40"/>
      <c r="P636" s="40"/>
      <c r="Q636" s="40"/>
      <c r="R636" s="40"/>
    </row>
    <row r="637" spans="10:18" ht="15.75" customHeight="1">
      <c r="J637" s="40"/>
      <c r="K637" s="40"/>
      <c r="L637" s="40"/>
      <c r="M637" s="40"/>
      <c r="N637" s="40"/>
      <c r="O637" s="40"/>
      <c r="P637" s="40"/>
      <c r="Q637" s="40"/>
      <c r="R637" s="40"/>
    </row>
    <row r="638" spans="10:18" ht="15.75" customHeight="1">
      <c r="J638" s="40"/>
      <c r="K638" s="40"/>
      <c r="L638" s="40"/>
      <c r="M638" s="40"/>
      <c r="N638" s="40"/>
      <c r="O638" s="40"/>
      <c r="P638" s="40"/>
      <c r="Q638" s="40"/>
      <c r="R638" s="40"/>
    </row>
    <row r="639" spans="10:18" ht="15.75" customHeight="1">
      <c r="J639" s="40"/>
      <c r="K639" s="40"/>
      <c r="L639" s="40"/>
      <c r="M639" s="40"/>
      <c r="N639" s="40"/>
      <c r="O639" s="40"/>
      <c r="P639" s="40"/>
      <c r="Q639" s="40"/>
      <c r="R639" s="40"/>
    </row>
    <row r="640" spans="10:18" ht="15.75" customHeight="1">
      <c r="J640" s="40"/>
      <c r="K640" s="40"/>
      <c r="L640" s="40"/>
      <c r="M640" s="40"/>
      <c r="N640" s="40"/>
      <c r="O640" s="40"/>
      <c r="P640" s="40"/>
      <c r="Q640" s="40"/>
      <c r="R640" s="40"/>
    </row>
    <row r="641" spans="10:18" ht="15.75" customHeight="1">
      <c r="J641" s="40"/>
      <c r="K641" s="40"/>
      <c r="L641" s="40"/>
      <c r="M641" s="40"/>
      <c r="N641" s="40"/>
      <c r="O641" s="40"/>
      <c r="P641" s="40"/>
      <c r="Q641" s="40"/>
      <c r="R641" s="40"/>
    </row>
    <row r="642" spans="10:18" ht="15.75" customHeight="1">
      <c r="J642" s="40"/>
      <c r="K642" s="40"/>
      <c r="L642" s="40"/>
      <c r="M642" s="40"/>
      <c r="N642" s="40"/>
      <c r="O642" s="40"/>
      <c r="P642" s="40"/>
      <c r="Q642" s="40"/>
      <c r="R642" s="40"/>
    </row>
    <row r="643" spans="10:18" ht="15.75" customHeight="1">
      <c r="J643" s="40"/>
      <c r="K643" s="40"/>
      <c r="L643" s="40"/>
      <c r="M643" s="40"/>
      <c r="N643" s="40"/>
      <c r="O643" s="40"/>
      <c r="P643" s="40"/>
      <c r="Q643" s="40"/>
      <c r="R643" s="40"/>
    </row>
    <row r="644" spans="10:18" ht="15.75" customHeight="1">
      <c r="J644" s="40"/>
      <c r="K644" s="40"/>
      <c r="L644" s="40"/>
      <c r="M644" s="40"/>
      <c r="N644" s="40"/>
      <c r="O644" s="40"/>
      <c r="P644" s="40"/>
      <c r="Q644" s="40"/>
      <c r="R644" s="40"/>
    </row>
    <row r="645" spans="10:18" ht="15.75" customHeight="1">
      <c r="J645" s="40"/>
      <c r="K645" s="40"/>
      <c r="L645" s="40"/>
      <c r="M645" s="40"/>
      <c r="N645" s="40"/>
      <c r="O645" s="40"/>
      <c r="P645" s="40"/>
      <c r="Q645" s="40"/>
      <c r="R645" s="40"/>
    </row>
    <row r="646" spans="10:18" ht="15.75" customHeight="1">
      <c r="J646" s="40"/>
      <c r="K646" s="40"/>
      <c r="L646" s="40"/>
      <c r="M646" s="40"/>
      <c r="N646" s="40"/>
      <c r="O646" s="40"/>
      <c r="P646" s="40"/>
      <c r="Q646" s="40"/>
      <c r="R646" s="40"/>
    </row>
    <row r="647" spans="10:18" ht="15.75" customHeight="1">
      <c r="J647" s="40"/>
      <c r="K647" s="40"/>
      <c r="L647" s="40"/>
      <c r="M647" s="40"/>
      <c r="N647" s="40"/>
      <c r="O647" s="40"/>
      <c r="P647" s="40"/>
      <c r="Q647" s="40"/>
      <c r="R647" s="40"/>
    </row>
    <row r="648" spans="10:18" ht="15.75" customHeight="1">
      <c r="J648" s="40"/>
      <c r="K648" s="40"/>
      <c r="L648" s="40"/>
      <c r="M648" s="40"/>
      <c r="N648" s="40"/>
      <c r="O648" s="40"/>
      <c r="P648" s="40"/>
      <c r="Q648" s="40"/>
      <c r="R648" s="40"/>
    </row>
    <row r="649" spans="10:18" ht="15.75" customHeight="1">
      <c r="J649" s="40"/>
      <c r="K649" s="40"/>
      <c r="L649" s="40"/>
      <c r="M649" s="40"/>
      <c r="N649" s="40"/>
      <c r="O649" s="40"/>
      <c r="P649" s="40"/>
      <c r="Q649" s="40"/>
      <c r="R649" s="40"/>
    </row>
    <row r="650" spans="10:18" ht="15.75" customHeight="1">
      <c r="J650" s="40"/>
      <c r="K650" s="40"/>
      <c r="L650" s="40"/>
      <c r="M650" s="40"/>
      <c r="N650" s="40"/>
      <c r="O650" s="40"/>
      <c r="P650" s="40"/>
      <c r="Q650" s="40"/>
      <c r="R650" s="40"/>
    </row>
    <row r="651" spans="10:18" ht="15.75" customHeight="1">
      <c r="J651" s="40"/>
      <c r="K651" s="40"/>
      <c r="L651" s="40"/>
      <c r="M651" s="40"/>
      <c r="N651" s="40"/>
      <c r="O651" s="40"/>
      <c r="P651" s="40"/>
      <c r="Q651" s="40"/>
      <c r="R651" s="40"/>
    </row>
    <row r="652" spans="10:18" ht="15.75" customHeight="1">
      <c r="J652" s="40"/>
      <c r="K652" s="40"/>
      <c r="L652" s="40"/>
      <c r="M652" s="40"/>
      <c r="N652" s="40"/>
      <c r="O652" s="40"/>
      <c r="P652" s="40"/>
      <c r="Q652" s="40"/>
      <c r="R652" s="40"/>
    </row>
    <row r="653" spans="10:18" ht="15.75" customHeight="1">
      <c r="J653" s="40"/>
      <c r="K653" s="40"/>
      <c r="L653" s="40"/>
      <c r="M653" s="40"/>
      <c r="N653" s="40"/>
      <c r="O653" s="40"/>
      <c r="P653" s="40"/>
      <c r="Q653" s="40"/>
      <c r="R653" s="40"/>
    </row>
    <row r="654" spans="10:18" ht="15.75" customHeight="1">
      <c r="J654" s="40"/>
      <c r="K654" s="40"/>
      <c r="L654" s="40"/>
      <c r="M654" s="40"/>
      <c r="N654" s="40"/>
      <c r="O654" s="40"/>
      <c r="P654" s="40"/>
      <c r="Q654" s="40"/>
      <c r="R654" s="40"/>
    </row>
    <row r="655" spans="10:18" ht="15.75" customHeight="1">
      <c r="J655" s="40"/>
      <c r="K655" s="40"/>
      <c r="L655" s="40"/>
      <c r="M655" s="40"/>
      <c r="N655" s="40"/>
      <c r="O655" s="40"/>
      <c r="P655" s="40"/>
      <c r="Q655" s="40"/>
      <c r="R655" s="40"/>
    </row>
    <row r="656" spans="10:18" ht="15.75" customHeight="1">
      <c r="J656" s="40"/>
      <c r="K656" s="40"/>
      <c r="L656" s="40"/>
      <c r="M656" s="40"/>
      <c r="N656" s="40"/>
      <c r="O656" s="40"/>
      <c r="P656" s="40"/>
      <c r="Q656" s="40"/>
      <c r="R656" s="40"/>
    </row>
    <row r="657" spans="10:18" ht="15.75" customHeight="1">
      <c r="J657" s="40"/>
      <c r="K657" s="40"/>
      <c r="L657" s="40"/>
      <c r="M657" s="40"/>
      <c r="N657" s="40"/>
      <c r="O657" s="40"/>
      <c r="P657" s="40"/>
      <c r="Q657" s="40"/>
      <c r="R657" s="40"/>
    </row>
    <row r="658" spans="10:18" ht="15.75" customHeight="1">
      <c r="J658" s="40"/>
      <c r="K658" s="40"/>
      <c r="L658" s="40"/>
      <c r="M658" s="40"/>
      <c r="N658" s="40"/>
      <c r="O658" s="40"/>
      <c r="P658" s="40"/>
      <c r="Q658" s="40"/>
      <c r="R658" s="40"/>
    </row>
    <row r="659" spans="10:18" ht="15.75" customHeight="1">
      <c r="J659" s="40"/>
      <c r="K659" s="40"/>
      <c r="L659" s="40"/>
      <c r="M659" s="40"/>
      <c r="N659" s="40"/>
      <c r="O659" s="40"/>
      <c r="P659" s="40"/>
      <c r="Q659" s="40"/>
      <c r="R659" s="40"/>
    </row>
    <row r="660" spans="10:18" ht="15.75" customHeight="1">
      <c r="J660" s="40"/>
      <c r="K660" s="40"/>
      <c r="L660" s="40"/>
      <c r="M660" s="40"/>
      <c r="N660" s="40"/>
      <c r="O660" s="40"/>
      <c r="P660" s="40"/>
      <c r="Q660" s="40"/>
      <c r="R660" s="40"/>
    </row>
    <row r="661" spans="10:18" ht="15.75" customHeight="1">
      <c r="J661" s="40"/>
      <c r="K661" s="40"/>
      <c r="L661" s="40"/>
      <c r="M661" s="40"/>
      <c r="N661" s="40"/>
      <c r="O661" s="40"/>
      <c r="P661" s="40"/>
      <c r="Q661" s="40"/>
      <c r="R661" s="40"/>
    </row>
    <row r="662" spans="10:18" ht="15.75" customHeight="1">
      <c r="J662" s="40"/>
      <c r="K662" s="40"/>
      <c r="L662" s="40"/>
      <c r="M662" s="40"/>
      <c r="N662" s="40"/>
      <c r="O662" s="40"/>
      <c r="P662" s="40"/>
      <c r="Q662" s="40"/>
      <c r="R662" s="40"/>
    </row>
    <row r="663" spans="10:18" ht="15.75" customHeight="1">
      <c r="J663" s="40"/>
      <c r="K663" s="40"/>
      <c r="L663" s="40"/>
      <c r="M663" s="40"/>
      <c r="N663" s="40"/>
      <c r="O663" s="40"/>
      <c r="P663" s="40"/>
      <c r="Q663" s="40"/>
      <c r="R663" s="40"/>
    </row>
    <row r="664" spans="10:18" ht="15.75" customHeight="1">
      <c r="J664" s="40"/>
      <c r="K664" s="40"/>
      <c r="L664" s="40"/>
      <c r="M664" s="40"/>
      <c r="N664" s="40"/>
      <c r="O664" s="40"/>
      <c r="P664" s="40"/>
      <c r="Q664" s="40"/>
      <c r="R664" s="40"/>
    </row>
    <row r="665" spans="10:18" ht="15.75" customHeight="1">
      <c r="J665" s="40"/>
      <c r="K665" s="40"/>
      <c r="L665" s="40"/>
      <c r="M665" s="40"/>
      <c r="N665" s="40"/>
      <c r="O665" s="40"/>
      <c r="P665" s="40"/>
      <c r="Q665" s="40"/>
      <c r="R665" s="40"/>
    </row>
    <row r="666" spans="10:18" ht="15.75" customHeight="1">
      <c r="J666" s="40"/>
      <c r="K666" s="40"/>
      <c r="L666" s="40"/>
      <c r="M666" s="40"/>
      <c r="N666" s="40"/>
      <c r="O666" s="40"/>
      <c r="P666" s="40"/>
      <c r="Q666" s="40"/>
      <c r="R666" s="40"/>
    </row>
    <row r="667" spans="10:18" ht="15.75" customHeight="1">
      <c r="J667" s="40"/>
      <c r="K667" s="40"/>
      <c r="L667" s="40"/>
      <c r="M667" s="40"/>
      <c r="N667" s="40"/>
      <c r="O667" s="40"/>
      <c r="P667" s="40"/>
      <c r="Q667" s="40"/>
      <c r="R667" s="40"/>
    </row>
    <row r="668" spans="10:18" ht="15.75" customHeight="1">
      <c r="J668" s="40"/>
      <c r="K668" s="40"/>
      <c r="L668" s="40"/>
      <c r="M668" s="40"/>
      <c r="N668" s="40"/>
      <c r="O668" s="40"/>
      <c r="P668" s="40"/>
      <c r="Q668" s="40"/>
      <c r="R668" s="40"/>
    </row>
    <row r="669" spans="10:18" ht="15.75" customHeight="1">
      <c r="J669" s="40"/>
      <c r="K669" s="40"/>
      <c r="L669" s="40"/>
      <c r="M669" s="40"/>
      <c r="N669" s="40"/>
      <c r="O669" s="40"/>
      <c r="P669" s="40"/>
      <c r="Q669" s="40"/>
      <c r="R669" s="40"/>
    </row>
    <row r="670" spans="10:18" ht="15.75" customHeight="1">
      <c r="J670" s="40"/>
      <c r="K670" s="40"/>
      <c r="L670" s="40"/>
      <c r="M670" s="40"/>
      <c r="N670" s="40"/>
      <c r="O670" s="40"/>
      <c r="P670" s="40"/>
      <c r="Q670" s="40"/>
      <c r="R670" s="40"/>
    </row>
    <row r="671" spans="10:18" ht="15.75" customHeight="1">
      <c r="J671" s="40"/>
      <c r="K671" s="40"/>
      <c r="L671" s="40"/>
      <c r="M671" s="40"/>
      <c r="N671" s="40"/>
      <c r="O671" s="40"/>
      <c r="P671" s="40"/>
      <c r="Q671" s="40"/>
      <c r="R671" s="40"/>
    </row>
    <row r="672" spans="10:18" ht="15.75" customHeight="1">
      <c r="J672" s="40"/>
      <c r="K672" s="40"/>
      <c r="L672" s="40"/>
      <c r="M672" s="40"/>
      <c r="N672" s="40"/>
      <c r="O672" s="40"/>
      <c r="P672" s="40"/>
      <c r="Q672" s="40"/>
      <c r="R672" s="40"/>
    </row>
    <row r="673" spans="10:18" ht="15.75" customHeight="1">
      <c r="J673" s="40"/>
      <c r="K673" s="40"/>
      <c r="L673" s="40"/>
      <c r="M673" s="40"/>
      <c r="N673" s="40"/>
      <c r="O673" s="40"/>
      <c r="P673" s="40"/>
      <c r="Q673" s="40"/>
      <c r="R673" s="40"/>
    </row>
    <row r="674" spans="10:18" ht="15.75" customHeight="1">
      <c r="J674" s="40"/>
      <c r="K674" s="40"/>
      <c r="L674" s="40"/>
      <c r="M674" s="40"/>
      <c r="N674" s="40"/>
      <c r="O674" s="40"/>
      <c r="P674" s="40"/>
      <c r="Q674" s="40"/>
      <c r="R674" s="40"/>
    </row>
    <row r="675" spans="10:18" ht="15.75" customHeight="1">
      <c r="J675" s="40"/>
      <c r="K675" s="40"/>
      <c r="L675" s="40"/>
      <c r="M675" s="40"/>
      <c r="N675" s="40"/>
      <c r="O675" s="40"/>
      <c r="P675" s="40"/>
      <c r="Q675" s="40"/>
      <c r="R675" s="40"/>
    </row>
    <row r="676" spans="10:18" ht="15.75" customHeight="1">
      <c r="J676" s="40"/>
      <c r="K676" s="40"/>
      <c r="L676" s="40"/>
      <c r="M676" s="40"/>
      <c r="N676" s="40"/>
      <c r="O676" s="40"/>
      <c r="P676" s="40"/>
      <c r="Q676" s="40"/>
      <c r="R676" s="40"/>
    </row>
    <row r="677" spans="10:18" ht="15.75" customHeight="1">
      <c r="J677" s="40"/>
      <c r="K677" s="40"/>
      <c r="L677" s="40"/>
      <c r="M677" s="40"/>
      <c r="N677" s="40"/>
      <c r="O677" s="40"/>
      <c r="P677" s="40"/>
      <c r="Q677" s="40"/>
      <c r="R677" s="40"/>
    </row>
    <row r="678" spans="10:18" ht="15.75" customHeight="1">
      <c r="J678" s="40"/>
      <c r="K678" s="40"/>
      <c r="L678" s="40"/>
      <c r="M678" s="40"/>
      <c r="N678" s="40"/>
      <c r="O678" s="40"/>
      <c r="P678" s="40"/>
      <c r="Q678" s="40"/>
      <c r="R678" s="40"/>
    </row>
    <row r="679" spans="10:18" ht="15.75" customHeight="1">
      <c r="J679" s="40"/>
      <c r="K679" s="40"/>
      <c r="L679" s="40"/>
      <c r="M679" s="40"/>
      <c r="N679" s="40"/>
      <c r="O679" s="40"/>
      <c r="P679" s="40"/>
      <c r="Q679" s="40"/>
      <c r="R679" s="40"/>
    </row>
    <row r="680" spans="10:18" ht="15.75" customHeight="1">
      <c r="J680" s="40"/>
      <c r="K680" s="40"/>
      <c r="L680" s="40"/>
      <c r="M680" s="40"/>
      <c r="N680" s="40"/>
      <c r="O680" s="40"/>
      <c r="P680" s="40"/>
      <c r="Q680" s="40"/>
      <c r="R680" s="40"/>
    </row>
    <row r="681" spans="10:18" ht="15.75" customHeight="1">
      <c r="J681" s="40"/>
      <c r="K681" s="40"/>
      <c r="L681" s="40"/>
      <c r="M681" s="40"/>
      <c r="N681" s="40"/>
      <c r="O681" s="40"/>
      <c r="P681" s="40"/>
      <c r="Q681" s="40"/>
      <c r="R681" s="40"/>
    </row>
    <row r="682" spans="10:18" ht="15.75" customHeight="1">
      <c r="J682" s="40"/>
      <c r="K682" s="40"/>
      <c r="L682" s="40"/>
      <c r="M682" s="40"/>
      <c r="N682" s="40"/>
      <c r="O682" s="40"/>
      <c r="P682" s="40"/>
      <c r="Q682" s="40"/>
      <c r="R682" s="40"/>
    </row>
    <row r="683" spans="10:18" ht="15.75" customHeight="1">
      <c r="J683" s="40"/>
      <c r="K683" s="40"/>
      <c r="L683" s="40"/>
      <c r="M683" s="40"/>
      <c r="N683" s="40"/>
      <c r="O683" s="40"/>
      <c r="P683" s="40"/>
      <c r="Q683" s="40"/>
      <c r="R683" s="40"/>
    </row>
    <row r="684" spans="10:18" ht="15.75" customHeight="1">
      <c r="J684" s="40"/>
      <c r="K684" s="40"/>
      <c r="L684" s="40"/>
      <c r="M684" s="40"/>
      <c r="N684" s="40"/>
      <c r="O684" s="40"/>
      <c r="P684" s="40"/>
      <c r="Q684" s="40"/>
      <c r="R684" s="40"/>
    </row>
    <row r="685" spans="10:18" ht="15.75" customHeight="1">
      <c r="J685" s="40"/>
      <c r="K685" s="40"/>
      <c r="L685" s="40"/>
      <c r="M685" s="40"/>
      <c r="N685" s="40"/>
      <c r="O685" s="40"/>
      <c r="P685" s="40"/>
      <c r="Q685" s="40"/>
      <c r="R685" s="40"/>
    </row>
    <row r="686" spans="10:18" ht="15.75" customHeight="1">
      <c r="J686" s="40"/>
      <c r="K686" s="40"/>
      <c r="L686" s="40"/>
      <c r="M686" s="40"/>
      <c r="N686" s="40"/>
      <c r="O686" s="40"/>
      <c r="P686" s="40"/>
      <c r="Q686" s="40"/>
      <c r="R686" s="40"/>
    </row>
    <row r="687" spans="10:18" ht="15.75" customHeight="1">
      <c r="J687" s="40"/>
      <c r="K687" s="40"/>
      <c r="L687" s="40"/>
      <c r="M687" s="40"/>
      <c r="N687" s="40"/>
      <c r="O687" s="40"/>
      <c r="P687" s="40"/>
      <c r="Q687" s="40"/>
      <c r="R687" s="40"/>
    </row>
    <row r="688" spans="10:18" ht="15.75" customHeight="1">
      <c r="J688" s="40"/>
      <c r="K688" s="40"/>
      <c r="L688" s="40"/>
      <c r="M688" s="40"/>
      <c r="N688" s="40"/>
      <c r="O688" s="40"/>
      <c r="P688" s="40"/>
      <c r="Q688" s="40"/>
      <c r="R688" s="40"/>
    </row>
    <row r="689" spans="10:18" ht="15.75" customHeight="1">
      <c r="J689" s="40"/>
      <c r="K689" s="40"/>
      <c r="L689" s="40"/>
      <c r="M689" s="40"/>
      <c r="N689" s="40"/>
      <c r="O689" s="40"/>
      <c r="P689" s="40"/>
      <c r="Q689" s="40"/>
      <c r="R689" s="40"/>
    </row>
    <row r="690" spans="10:18" ht="15.75" customHeight="1">
      <c r="J690" s="40"/>
      <c r="K690" s="40"/>
      <c r="L690" s="40"/>
      <c r="M690" s="40"/>
      <c r="N690" s="40"/>
      <c r="O690" s="40"/>
      <c r="P690" s="40"/>
      <c r="Q690" s="40"/>
      <c r="R690" s="40"/>
    </row>
    <row r="691" spans="10:18" ht="15.75" customHeight="1">
      <c r="J691" s="40"/>
      <c r="K691" s="40"/>
      <c r="L691" s="40"/>
      <c r="M691" s="40"/>
      <c r="N691" s="40"/>
      <c r="O691" s="40"/>
      <c r="P691" s="40"/>
      <c r="Q691" s="40"/>
      <c r="R691" s="40"/>
    </row>
    <row r="692" spans="10:18" ht="15.75" customHeight="1">
      <c r="J692" s="40"/>
      <c r="K692" s="40"/>
      <c r="L692" s="40"/>
      <c r="M692" s="40"/>
      <c r="N692" s="40"/>
      <c r="O692" s="40"/>
      <c r="P692" s="40"/>
      <c r="Q692" s="40"/>
      <c r="R692" s="40"/>
    </row>
    <row r="693" spans="10:18" ht="15.75" customHeight="1">
      <c r="J693" s="40"/>
      <c r="K693" s="40"/>
      <c r="L693" s="40"/>
      <c r="M693" s="40"/>
      <c r="N693" s="40"/>
      <c r="O693" s="40"/>
      <c r="P693" s="40"/>
      <c r="Q693" s="40"/>
      <c r="R693" s="40"/>
    </row>
    <row r="694" spans="10:18" ht="15.75" customHeight="1">
      <c r="J694" s="40"/>
      <c r="K694" s="40"/>
      <c r="L694" s="40"/>
      <c r="M694" s="40"/>
      <c r="N694" s="40"/>
      <c r="O694" s="40"/>
      <c r="P694" s="40"/>
      <c r="Q694" s="40"/>
      <c r="R694" s="40"/>
    </row>
    <row r="695" spans="10:18" ht="15.75" customHeight="1">
      <c r="J695" s="40"/>
      <c r="K695" s="40"/>
      <c r="L695" s="40"/>
      <c r="M695" s="40"/>
      <c r="N695" s="40"/>
      <c r="O695" s="40"/>
      <c r="P695" s="40"/>
      <c r="Q695" s="40"/>
      <c r="R695" s="40"/>
    </row>
    <row r="696" spans="10:18" ht="15.75" customHeight="1">
      <c r="J696" s="40"/>
      <c r="K696" s="40"/>
      <c r="L696" s="40"/>
      <c r="M696" s="40"/>
      <c r="N696" s="40"/>
      <c r="O696" s="40"/>
      <c r="P696" s="40"/>
      <c r="Q696" s="40"/>
      <c r="R696" s="40"/>
    </row>
    <row r="697" spans="10:18" ht="15.75" customHeight="1">
      <c r="J697" s="40"/>
      <c r="K697" s="40"/>
      <c r="L697" s="40"/>
      <c r="M697" s="40"/>
      <c r="N697" s="40"/>
      <c r="O697" s="40"/>
      <c r="P697" s="40"/>
      <c r="Q697" s="40"/>
      <c r="R697" s="40"/>
    </row>
    <row r="698" spans="10:18" ht="15.75" customHeight="1">
      <c r="J698" s="40"/>
      <c r="K698" s="40"/>
      <c r="L698" s="40"/>
      <c r="M698" s="40"/>
      <c r="N698" s="40"/>
      <c r="O698" s="40"/>
      <c r="P698" s="40"/>
      <c r="Q698" s="40"/>
      <c r="R698" s="40"/>
    </row>
    <row r="699" spans="10:18" ht="15.75" customHeight="1">
      <c r="J699" s="40"/>
      <c r="K699" s="40"/>
      <c r="L699" s="40"/>
      <c r="M699" s="40"/>
      <c r="N699" s="40"/>
      <c r="O699" s="40"/>
      <c r="P699" s="40"/>
      <c r="Q699" s="40"/>
      <c r="R699" s="40"/>
    </row>
    <row r="700" spans="10:18" ht="15.75" customHeight="1">
      <c r="J700" s="40"/>
      <c r="K700" s="40"/>
      <c r="L700" s="40"/>
      <c r="M700" s="40"/>
      <c r="N700" s="40"/>
      <c r="O700" s="40"/>
      <c r="P700" s="40"/>
      <c r="Q700" s="40"/>
      <c r="R700" s="40"/>
    </row>
    <row r="701" spans="10:18" ht="15.75" customHeight="1">
      <c r="J701" s="40"/>
      <c r="K701" s="40"/>
      <c r="L701" s="40"/>
      <c r="M701" s="40"/>
      <c r="N701" s="40"/>
      <c r="O701" s="40"/>
      <c r="P701" s="40"/>
      <c r="Q701" s="40"/>
      <c r="R701" s="40"/>
    </row>
    <row r="702" spans="10:18" ht="15.75" customHeight="1">
      <c r="J702" s="40"/>
      <c r="K702" s="40"/>
      <c r="L702" s="40"/>
      <c r="M702" s="40"/>
      <c r="N702" s="40"/>
      <c r="O702" s="40"/>
      <c r="P702" s="40"/>
      <c r="Q702" s="40"/>
      <c r="R702" s="40"/>
    </row>
    <row r="703" spans="10:18" ht="15.75" customHeight="1">
      <c r="J703" s="40"/>
      <c r="K703" s="40"/>
      <c r="L703" s="40"/>
      <c r="M703" s="40"/>
      <c r="N703" s="40"/>
      <c r="O703" s="40"/>
      <c r="P703" s="40"/>
      <c r="Q703" s="40"/>
      <c r="R703" s="40"/>
    </row>
    <row r="704" spans="10:18" ht="15.75" customHeight="1">
      <c r="J704" s="40"/>
      <c r="K704" s="40"/>
      <c r="L704" s="40"/>
      <c r="M704" s="40"/>
      <c r="N704" s="40"/>
      <c r="O704" s="40"/>
      <c r="P704" s="40"/>
      <c r="Q704" s="40"/>
      <c r="R704" s="40"/>
    </row>
    <row r="705" spans="10:18" ht="15.75" customHeight="1">
      <c r="J705" s="40"/>
      <c r="K705" s="40"/>
      <c r="L705" s="40"/>
      <c r="M705" s="40"/>
      <c r="N705" s="40"/>
      <c r="O705" s="40"/>
      <c r="P705" s="40"/>
      <c r="Q705" s="40"/>
      <c r="R705" s="40"/>
    </row>
    <row r="706" spans="10:18" ht="15.75" customHeight="1">
      <c r="J706" s="40"/>
      <c r="K706" s="40"/>
      <c r="L706" s="40"/>
      <c r="M706" s="40"/>
      <c r="N706" s="40"/>
      <c r="O706" s="40"/>
      <c r="P706" s="40"/>
      <c r="Q706" s="40"/>
      <c r="R706" s="40"/>
    </row>
    <row r="707" spans="10:18" ht="15.75" customHeight="1">
      <c r="J707" s="40"/>
      <c r="K707" s="40"/>
      <c r="L707" s="40"/>
      <c r="M707" s="40"/>
      <c r="N707" s="40"/>
      <c r="O707" s="40"/>
      <c r="P707" s="40"/>
      <c r="Q707" s="40"/>
      <c r="R707" s="40"/>
    </row>
    <row r="708" spans="10:18" ht="15.75" customHeight="1">
      <c r="J708" s="40"/>
      <c r="K708" s="40"/>
      <c r="L708" s="40"/>
      <c r="M708" s="40"/>
      <c r="N708" s="40"/>
      <c r="O708" s="40"/>
      <c r="P708" s="40"/>
      <c r="Q708" s="40"/>
      <c r="R708" s="40"/>
    </row>
    <row r="709" spans="10:18" ht="15.75" customHeight="1">
      <c r="J709" s="40"/>
      <c r="K709" s="40"/>
      <c r="L709" s="40"/>
      <c r="M709" s="40"/>
      <c r="N709" s="40"/>
      <c r="O709" s="40"/>
      <c r="P709" s="40"/>
      <c r="Q709" s="40"/>
      <c r="R709" s="40"/>
    </row>
    <row r="710" spans="10:18" ht="15.75" customHeight="1">
      <c r="J710" s="40"/>
      <c r="K710" s="40"/>
      <c r="L710" s="40"/>
      <c r="M710" s="40"/>
      <c r="N710" s="40"/>
      <c r="O710" s="40"/>
      <c r="P710" s="40"/>
      <c r="Q710" s="40"/>
      <c r="R710" s="40"/>
    </row>
    <row r="711" spans="10:18" ht="15.75" customHeight="1">
      <c r="J711" s="40"/>
      <c r="K711" s="40"/>
      <c r="L711" s="40"/>
      <c r="M711" s="40"/>
      <c r="N711" s="40"/>
      <c r="O711" s="40"/>
      <c r="P711" s="40"/>
      <c r="Q711" s="40"/>
      <c r="R711" s="40"/>
    </row>
    <row r="712" spans="10:18" ht="15.75" customHeight="1">
      <c r="J712" s="40"/>
      <c r="K712" s="40"/>
      <c r="L712" s="40"/>
      <c r="M712" s="40"/>
      <c r="N712" s="40"/>
      <c r="O712" s="40"/>
      <c r="P712" s="40"/>
      <c r="Q712" s="40"/>
      <c r="R712" s="40"/>
    </row>
    <row r="713" spans="10:18" ht="15.75" customHeight="1">
      <c r="J713" s="40"/>
      <c r="K713" s="40"/>
      <c r="L713" s="40"/>
      <c r="M713" s="40"/>
      <c r="N713" s="40"/>
      <c r="O713" s="40"/>
      <c r="P713" s="40"/>
      <c r="Q713" s="40"/>
      <c r="R713" s="40"/>
    </row>
    <row r="714" spans="10:18" ht="15.75" customHeight="1">
      <c r="J714" s="40"/>
      <c r="K714" s="40"/>
      <c r="L714" s="40"/>
      <c r="M714" s="40"/>
      <c r="N714" s="40"/>
      <c r="O714" s="40"/>
      <c r="P714" s="40"/>
      <c r="Q714" s="40"/>
      <c r="R714" s="40"/>
    </row>
    <row r="715" spans="10:18" ht="15.75" customHeight="1">
      <c r="J715" s="40"/>
      <c r="K715" s="40"/>
      <c r="L715" s="40"/>
      <c r="M715" s="40"/>
      <c r="N715" s="40"/>
      <c r="O715" s="40"/>
      <c r="P715" s="40"/>
      <c r="Q715" s="40"/>
      <c r="R715" s="40"/>
    </row>
    <row r="716" spans="10:18" ht="15.75" customHeight="1">
      <c r="J716" s="40"/>
      <c r="K716" s="40"/>
      <c r="L716" s="40"/>
      <c r="M716" s="40"/>
      <c r="N716" s="40"/>
      <c r="O716" s="40"/>
      <c r="P716" s="40"/>
      <c r="Q716" s="40"/>
      <c r="R716" s="40"/>
    </row>
    <row r="717" spans="10:18" ht="15.75" customHeight="1">
      <c r="J717" s="40"/>
      <c r="K717" s="40"/>
      <c r="L717" s="40"/>
      <c r="M717" s="40"/>
      <c r="N717" s="40"/>
      <c r="O717" s="40"/>
      <c r="P717" s="40"/>
      <c r="Q717" s="40"/>
      <c r="R717" s="40"/>
    </row>
    <row r="718" spans="10:18" ht="15.75" customHeight="1">
      <c r="J718" s="40"/>
      <c r="K718" s="40"/>
      <c r="L718" s="40"/>
      <c r="M718" s="40"/>
      <c r="N718" s="40"/>
      <c r="O718" s="40"/>
      <c r="P718" s="40"/>
      <c r="Q718" s="40"/>
      <c r="R718" s="40"/>
    </row>
    <row r="719" spans="10:18" ht="15.75" customHeight="1">
      <c r="J719" s="40"/>
      <c r="K719" s="40"/>
      <c r="L719" s="40"/>
      <c r="M719" s="40"/>
      <c r="N719" s="40"/>
      <c r="O719" s="40"/>
      <c r="P719" s="40"/>
      <c r="Q719" s="40"/>
      <c r="R719" s="40"/>
    </row>
    <row r="720" spans="10:18" ht="15.75" customHeight="1">
      <c r="J720" s="40"/>
      <c r="K720" s="40"/>
      <c r="L720" s="40"/>
      <c r="M720" s="40"/>
      <c r="N720" s="40"/>
      <c r="O720" s="40"/>
      <c r="P720" s="40"/>
      <c r="Q720" s="40"/>
      <c r="R720" s="40"/>
    </row>
    <row r="721" spans="10:18" ht="15.75" customHeight="1">
      <c r="J721" s="40"/>
      <c r="K721" s="40"/>
      <c r="L721" s="40"/>
      <c r="M721" s="40"/>
      <c r="N721" s="40"/>
      <c r="O721" s="40"/>
      <c r="P721" s="40"/>
      <c r="Q721" s="40"/>
      <c r="R721" s="40"/>
    </row>
    <row r="722" spans="10:18" ht="15.75" customHeight="1">
      <c r="J722" s="40"/>
      <c r="K722" s="40"/>
      <c r="L722" s="40"/>
      <c r="M722" s="40"/>
      <c r="N722" s="40"/>
      <c r="O722" s="40"/>
      <c r="P722" s="40"/>
      <c r="Q722" s="40"/>
      <c r="R722" s="40"/>
    </row>
    <row r="723" spans="10:18" ht="15.75" customHeight="1">
      <c r="J723" s="40"/>
      <c r="K723" s="40"/>
      <c r="L723" s="40"/>
      <c r="M723" s="40"/>
      <c r="N723" s="40"/>
      <c r="O723" s="40"/>
      <c r="P723" s="40"/>
      <c r="Q723" s="40"/>
      <c r="R723" s="40"/>
    </row>
    <row r="724" spans="10:18" ht="15.75" customHeight="1">
      <c r="J724" s="40"/>
      <c r="K724" s="40"/>
      <c r="L724" s="40"/>
      <c r="M724" s="40"/>
      <c r="N724" s="40"/>
      <c r="O724" s="40"/>
      <c r="P724" s="40"/>
      <c r="Q724" s="40"/>
      <c r="R724" s="40"/>
    </row>
    <row r="725" spans="10:18" ht="15.75" customHeight="1">
      <c r="J725" s="40"/>
      <c r="K725" s="40"/>
      <c r="L725" s="40"/>
      <c r="M725" s="40"/>
      <c r="N725" s="40"/>
      <c r="O725" s="40"/>
      <c r="P725" s="40"/>
      <c r="Q725" s="40"/>
      <c r="R725" s="40"/>
    </row>
    <row r="726" spans="10:18" ht="15.75" customHeight="1">
      <c r="J726" s="40"/>
      <c r="K726" s="40"/>
      <c r="L726" s="40"/>
      <c r="M726" s="40"/>
      <c r="N726" s="40"/>
      <c r="O726" s="40"/>
      <c r="P726" s="40"/>
      <c r="Q726" s="40"/>
      <c r="R726" s="40"/>
    </row>
    <row r="727" spans="10:18" ht="15.75" customHeight="1">
      <c r="J727" s="40"/>
      <c r="K727" s="40"/>
      <c r="L727" s="40"/>
      <c r="M727" s="40"/>
      <c r="N727" s="40"/>
      <c r="O727" s="40"/>
      <c r="P727" s="40"/>
      <c r="Q727" s="40"/>
      <c r="R727" s="40"/>
    </row>
    <row r="728" spans="10:18" ht="15.75" customHeight="1">
      <c r="J728" s="40"/>
      <c r="K728" s="40"/>
      <c r="L728" s="40"/>
      <c r="M728" s="40"/>
      <c r="N728" s="40"/>
      <c r="O728" s="40"/>
      <c r="P728" s="40"/>
      <c r="Q728" s="40"/>
      <c r="R728" s="40"/>
    </row>
    <row r="729" spans="10:18" ht="15.75" customHeight="1">
      <c r="J729" s="40"/>
      <c r="K729" s="40"/>
      <c r="L729" s="40"/>
      <c r="M729" s="40"/>
      <c r="N729" s="40"/>
      <c r="O729" s="40"/>
      <c r="P729" s="40"/>
      <c r="Q729" s="40"/>
      <c r="R729" s="40"/>
    </row>
    <row r="730" spans="10:18" ht="15.75" customHeight="1">
      <c r="J730" s="40"/>
      <c r="K730" s="40"/>
      <c r="L730" s="40"/>
      <c r="M730" s="40"/>
      <c r="N730" s="40"/>
      <c r="O730" s="40"/>
      <c r="P730" s="40"/>
      <c r="Q730" s="40"/>
      <c r="R730" s="40"/>
    </row>
    <row r="731" spans="10:18" ht="15.75" customHeight="1">
      <c r="J731" s="40"/>
      <c r="K731" s="40"/>
      <c r="L731" s="40"/>
      <c r="M731" s="40"/>
      <c r="N731" s="40"/>
      <c r="O731" s="40"/>
      <c r="P731" s="40"/>
      <c r="Q731" s="40"/>
      <c r="R731" s="40"/>
    </row>
    <row r="732" spans="10:18" ht="15.75" customHeight="1">
      <c r="J732" s="40"/>
      <c r="K732" s="40"/>
      <c r="L732" s="40"/>
      <c r="M732" s="40"/>
      <c r="N732" s="40"/>
      <c r="O732" s="40"/>
      <c r="P732" s="40"/>
      <c r="Q732" s="40"/>
      <c r="R732" s="40"/>
    </row>
    <row r="733" spans="10:18" ht="15.75" customHeight="1">
      <c r="J733" s="40"/>
      <c r="K733" s="40"/>
      <c r="L733" s="40"/>
      <c r="M733" s="40"/>
      <c r="N733" s="40"/>
      <c r="O733" s="40"/>
      <c r="P733" s="40"/>
      <c r="Q733" s="40"/>
      <c r="R733" s="40"/>
    </row>
    <row r="734" spans="10:18" ht="15.75" customHeight="1">
      <c r="J734" s="40"/>
      <c r="K734" s="40"/>
      <c r="L734" s="40"/>
      <c r="M734" s="40"/>
      <c r="N734" s="40"/>
      <c r="O734" s="40"/>
      <c r="P734" s="40"/>
      <c r="Q734" s="40"/>
      <c r="R734" s="40"/>
    </row>
    <row r="735" spans="10:18" ht="15.75" customHeight="1">
      <c r="J735" s="40"/>
      <c r="K735" s="40"/>
      <c r="L735" s="40"/>
      <c r="M735" s="40"/>
      <c r="N735" s="40"/>
      <c r="O735" s="40"/>
      <c r="P735" s="40"/>
      <c r="Q735" s="40"/>
      <c r="R735" s="40"/>
    </row>
    <row r="736" spans="10:18" ht="15.75" customHeight="1">
      <c r="J736" s="40"/>
      <c r="K736" s="40"/>
      <c r="L736" s="40"/>
      <c r="M736" s="40"/>
      <c r="N736" s="40"/>
      <c r="O736" s="40"/>
      <c r="P736" s="40"/>
      <c r="Q736" s="40"/>
      <c r="R736" s="40"/>
    </row>
    <row r="737" spans="10:18" ht="15.75" customHeight="1">
      <c r="J737" s="40"/>
      <c r="K737" s="40"/>
      <c r="L737" s="40"/>
      <c r="M737" s="40"/>
      <c r="N737" s="40"/>
      <c r="O737" s="40"/>
      <c r="P737" s="40"/>
      <c r="Q737" s="40"/>
      <c r="R737" s="40"/>
    </row>
    <row r="738" spans="10:18" ht="15.75" customHeight="1">
      <c r="J738" s="40"/>
      <c r="K738" s="40"/>
      <c r="L738" s="40"/>
      <c r="M738" s="40"/>
      <c r="N738" s="40"/>
      <c r="O738" s="40"/>
      <c r="P738" s="40"/>
      <c r="Q738" s="40"/>
      <c r="R738" s="40"/>
    </row>
    <row r="739" spans="10:18" ht="15.75" customHeight="1">
      <c r="J739" s="40"/>
      <c r="K739" s="40"/>
      <c r="L739" s="40"/>
      <c r="M739" s="40"/>
      <c r="N739" s="40"/>
      <c r="O739" s="40"/>
      <c r="P739" s="40"/>
      <c r="Q739" s="40"/>
      <c r="R739" s="40"/>
    </row>
    <row r="740" spans="10:18" ht="15.75" customHeight="1">
      <c r="J740" s="40"/>
      <c r="K740" s="40"/>
      <c r="L740" s="40"/>
      <c r="M740" s="40"/>
      <c r="N740" s="40"/>
      <c r="O740" s="40"/>
      <c r="P740" s="40"/>
      <c r="Q740" s="40"/>
      <c r="R740" s="40"/>
    </row>
    <row r="741" spans="10:18" ht="15.75" customHeight="1">
      <c r="J741" s="40"/>
      <c r="K741" s="40"/>
      <c r="L741" s="40"/>
      <c r="M741" s="40"/>
      <c r="N741" s="40"/>
      <c r="O741" s="40"/>
      <c r="P741" s="40"/>
      <c r="Q741" s="40"/>
      <c r="R741" s="40"/>
    </row>
    <row r="742" spans="10:18" ht="15.75" customHeight="1">
      <c r="J742" s="40"/>
      <c r="K742" s="40"/>
      <c r="L742" s="40"/>
      <c r="M742" s="40"/>
      <c r="N742" s="40"/>
      <c r="O742" s="40"/>
      <c r="P742" s="40"/>
      <c r="Q742" s="40"/>
      <c r="R742" s="40"/>
    </row>
    <row r="743" spans="10:18" ht="15.75" customHeight="1">
      <c r="J743" s="40"/>
      <c r="K743" s="40"/>
      <c r="L743" s="40"/>
      <c r="M743" s="40"/>
      <c r="N743" s="40"/>
      <c r="O743" s="40"/>
      <c r="P743" s="40"/>
      <c r="Q743" s="40"/>
      <c r="R743" s="40"/>
    </row>
    <row r="744" spans="10:18" ht="15.75" customHeight="1">
      <c r="J744" s="40"/>
      <c r="K744" s="40"/>
      <c r="L744" s="40"/>
      <c r="M744" s="40"/>
      <c r="N744" s="40"/>
      <c r="O744" s="40"/>
      <c r="P744" s="40"/>
      <c r="Q744" s="40"/>
      <c r="R744" s="40"/>
    </row>
    <row r="745" spans="10:18" ht="15.75" customHeight="1">
      <c r="J745" s="40"/>
      <c r="K745" s="40"/>
      <c r="L745" s="40"/>
      <c r="M745" s="40"/>
      <c r="N745" s="40"/>
      <c r="O745" s="40"/>
      <c r="P745" s="40"/>
      <c r="Q745" s="40"/>
      <c r="R745" s="40"/>
    </row>
    <row r="746" spans="10:18" ht="15.75" customHeight="1">
      <c r="J746" s="40"/>
      <c r="K746" s="40"/>
      <c r="L746" s="40"/>
      <c r="M746" s="40"/>
      <c r="N746" s="40"/>
      <c r="O746" s="40"/>
      <c r="P746" s="40"/>
      <c r="Q746" s="40"/>
      <c r="R746" s="40"/>
    </row>
    <row r="747" spans="10:18" ht="15.75" customHeight="1">
      <c r="J747" s="40"/>
      <c r="K747" s="40"/>
      <c r="L747" s="40"/>
      <c r="M747" s="40"/>
      <c r="N747" s="40"/>
      <c r="O747" s="40"/>
      <c r="P747" s="40"/>
      <c r="Q747" s="40"/>
      <c r="R747" s="40"/>
    </row>
    <row r="748" spans="10:18" ht="15.75" customHeight="1">
      <c r="J748" s="40"/>
      <c r="K748" s="40"/>
      <c r="L748" s="40"/>
      <c r="M748" s="40"/>
      <c r="N748" s="40"/>
      <c r="O748" s="40"/>
      <c r="P748" s="40"/>
      <c r="Q748" s="40"/>
      <c r="R748" s="40"/>
    </row>
    <row r="749" spans="10:18" ht="15.75" customHeight="1">
      <c r="J749" s="40"/>
      <c r="K749" s="40"/>
      <c r="L749" s="40"/>
      <c r="M749" s="40"/>
      <c r="N749" s="40"/>
      <c r="O749" s="40"/>
      <c r="P749" s="40"/>
      <c r="Q749" s="40"/>
      <c r="R749" s="40"/>
    </row>
    <row r="750" spans="10:18" ht="15.75" customHeight="1">
      <c r="J750" s="40"/>
      <c r="K750" s="40"/>
      <c r="L750" s="40"/>
      <c r="M750" s="40"/>
      <c r="N750" s="40"/>
      <c r="O750" s="40"/>
      <c r="P750" s="40"/>
      <c r="Q750" s="40"/>
      <c r="R750" s="40"/>
    </row>
    <row r="751" spans="10:18" ht="15.75" customHeight="1">
      <c r="J751" s="40"/>
      <c r="K751" s="40"/>
      <c r="L751" s="40"/>
      <c r="M751" s="40"/>
      <c r="N751" s="40"/>
      <c r="O751" s="40"/>
      <c r="P751" s="40"/>
      <c r="Q751" s="40"/>
      <c r="R751" s="40"/>
    </row>
    <row r="752" spans="10:18" ht="15.75" customHeight="1">
      <c r="J752" s="40"/>
      <c r="K752" s="40"/>
      <c r="L752" s="40"/>
      <c r="M752" s="40"/>
      <c r="N752" s="40"/>
      <c r="O752" s="40"/>
      <c r="P752" s="40"/>
      <c r="Q752" s="40"/>
      <c r="R752" s="40"/>
    </row>
    <row r="753" spans="10:18" ht="15.75" customHeight="1">
      <c r="J753" s="40"/>
      <c r="K753" s="40"/>
      <c r="L753" s="40"/>
      <c r="M753" s="40"/>
      <c r="N753" s="40"/>
      <c r="O753" s="40"/>
      <c r="P753" s="40"/>
      <c r="Q753" s="40"/>
      <c r="R753" s="40"/>
    </row>
    <row r="754" spans="10:18" ht="15.75" customHeight="1">
      <c r="J754" s="40"/>
      <c r="K754" s="40"/>
      <c r="L754" s="40"/>
      <c r="M754" s="40"/>
      <c r="N754" s="40"/>
      <c r="O754" s="40"/>
      <c r="P754" s="40"/>
      <c r="Q754" s="40"/>
      <c r="R754" s="40"/>
    </row>
    <row r="755" spans="10:18" ht="15.75" customHeight="1">
      <c r="J755" s="40"/>
      <c r="K755" s="40"/>
      <c r="L755" s="40"/>
      <c r="M755" s="40"/>
      <c r="N755" s="40"/>
      <c r="O755" s="40"/>
      <c r="P755" s="40"/>
      <c r="Q755" s="40"/>
      <c r="R755" s="40"/>
    </row>
    <row r="756" spans="10:18" ht="15.75" customHeight="1">
      <c r="J756" s="40"/>
      <c r="K756" s="40"/>
      <c r="L756" s="40"/>
      <c r="M756" s="40"/>
      <c r="N756" s="40"/>
      <c r="O756" s="40"/>
      <c r="P756" s="40"/>
      <c r="Q756" s="40"/>
      <c r="R756" s="40"/>
    </row>
    <row r="757" spans="10:18" ht="15.75" customHeight="1">
      <c r="J757" s="40"/>
      <c r="K757" s="40"/>
      <c r="L757" s="40"/>
      <c r="M757" s="40"/>
      <c r="N757" s="40"/>
      <c r="O757" s="40"/>
      <c r="P757" s="40"/>
      <c r="Q757" s="40"/>
      <c r="R757" s="40"/>
    </row>
    <row r="758" spans="10:18" ht="15.75" customHeight="1">
      <c r="J758" s="40"/>
      <c r="K758" s="40"/>
      <c r="L758" s="40"/>
      <c r="M758" s="40"/>
      <c r="N758" s="40"/>
      <c r="O758" s="40"/>
      <c r="P758" s="40"/>
      <c r="Q758" s="40"/>
      <c r="R758" s="40"/>
    </row>
    <row r="759" spans="10:18" ht="15.75" customHeight="1">
      <c r="J759" s="40"/>
      <c r="K759" s="40"/>
      <c r="L759" s="40"/>
      <c r="M759" s="40"/>
      <c r="N759" s="40"/>
      <c r="O759" s="40"/>
      <c r="P759" s="40"/>
      <c r="Q759" s="40"/>
      <c r="R759" s="40"/>
    </row>
    <row r="760" spans="10:18" ht="15.75" customHeight="1">
      <c r="J760" s="40"/>
      <c r="K760" s="40"/>
      <c r="L760" s="40"/>
      <c r="M760" s="40"/>
      <c r="N760" s="40"/>
      <c r="O760" s="40"/>
      <c r="P760" s="40"/>
      <c r="Q760" s="40"/>
      <c r="R760" s="40"/>
    </row>
    <row r="761" spans="10:18" ht="15.75" customHeight="1">
      <c r="J761" s="40"/>
      <c r="K761" s="40"/>
      <c r="L761" s="40"/>
      <c r="M761" s="40"/>
      <c r="N761" s="40"/>
      <c r="O761" s="40"/>
      <c r="P761" s="40"/>
      <c r="Q761" s="40"/>
      <c r="R761" s="40"/>
    </row>
    <row r="762" spans="10:18" ht="15.75" customHeight="1">
      <c r="J762" s="40"/>
      <c r="K762" s="40"/>
      <c r="L762" s="40"/>
      <c r="M762" s="40"/>
      <c r="N762" s="40"/>
      <c r="O762" s="40"/>
      <c r="P762" s="40"/>
      <c r="Q762" s="40"/>
      <c r="R762" s="40"/>
    </row>
    <row r="763" spans="10:18" ht="15.75" customHeight="1">
      <c r="J763" s="40"/>
      <c r="K763" s="40"/>
      <c r="L763" s="40"/>
      <c r="M763" s="40"/>
      <c r="N763" s="40"/>
      <c r="O763" s="40"/>
      <c r="P763" s="40"/>
      <c r="Q763" s="40"/>
      <c r="R763" s="40"/>
    </row>
    <row r="764" spans="10:18" ht="15.75" customHeight="1">
      <c r="J764" s="40"/>
      <c r="K764" s="40"/>
      <c r="L764" s="40"/>
      <c r="M764" s="40"/>
      <c r="N764" s="40"/>
      <c r="O764" s="40"/>
      <c r="P764" s="40"/>
      <c r="Q764" s="40"/>
      <c r="R764" s="40"/>
    </row>
    <row r="765" spans="10:18" ht="15.75" customHeight="1">
      <c r="J765" s="40"/>
      <c r="K765" s="40"/>
      <c r="L765" s="40"/>
      <c r="M765" s="40"/>
      <c r="N765" s="40"/>
      <c r="O765" s="40"/>
      <c r="P765" s="40"/>
      <c r="Q765" s="40"/>
      <c r="R765" s="40"/>
    </row>
    <row r="766" spans="10:18" ht="15.75" customHeight="1">
      <c r="J766" s="40"/>
      <c r="K766" s="40"/>
      <c r="L766" s="40"/>
      <c r="M766" s="40"/>
      <c r="N766" s="40"/>
      <c r="O766" s="40"/>
      <c r="P766" s="40"/>
      <c r="Q766" s="40"/>
      <c r="R766" s="40"/>
    </row>
    <row r="767" spans="10:18" ht="15.75" customHeight="1">
      <c r="J767" s="40"/>
      <c r="K767" s="40"/>
      <c r="L767" s="40"/>
      <c r="M767" s="40"/>
      <c r="N767" s="40"/>
      <c r="O767" s="40"/>
      <c r="P767" s="40"/>
      <c r="Q767" s="40"/>
      <c r="R767" s="40"/>
    </row>
    <row r="768" spans="10:18" ht="15.75" customHeight="1">
      <c r="J768" s="40"/>
      <c r="K768" s="40"/>
      <c r="L768" s="40"/>
      <c r="M768" s="40"/>
      <c r="N768" s="40"/>
      <c r="O768" s="40"/>
      <c r="P768" s="40"/>
      <c r="Q768" s="40"/>
      <c r="R768" s="40"/>
    </row>
    <row r="769" spans="10:18" ht="15.75" customHeight="1">
      <c r="J769" s="40"/>
      <c r="K769" s="40"/>
      <c r="L769" s="40"/>
      <c r="M769" s="40"/>
      <c r="N769" s="40"/>
      <c r="O769" s="40"/>
      <c r="P769" s="40"/>
      <c r="Q769" s="40"/>
      <c r="R769" s="40"/>
    </row>
    <row r="770" spans="10:18" ht="15.75" customHeight="1">
      <c r="J770" s="40"/>
      <c r="K770" s="40"/>
      <c r="L770" s="40"/>
      <c r="M770" s="40"/>
      <c r="N770" s="40"/>
      <c r="O770" s="40"/>
      <c r="P770" s="40"/>
      <c r="Q770" s="40"/>
      <c r="R770" s="40"/>
    </row>
    <row r="771" spans="10:18" ht="15.75" customHeight="1">
      <c r="J771" s="40"/>
      <c r="K771" s="40"/>
      <c r="L771" s="40"/>
      <c r="M771" s="40"/>
      <c r="N771" s="40"/>
      <c r="O771" s="40"/>
      <c r="P771" s="40"/>
      <c r="Q771" s="40"/>
      <c r="R771" s="40"/>
    </row>
    <row r="772" spans="10:18" ht="15.75" customHeight="1">
      <c r="J772" s="40"/>
      <c r="K772" s="40"/>
      <c r="L772" s="40"/>
      <c r="M772" s="40"/>
      <c r="N772" s="40"/>
      <c r="O772" s="40"/>
      <c r="P772" s="40"/>
      <c r="Q772" s="40"/>
      <c r="R772" s="40"/>
    </row>
    <row r="773" spans="10:18" ht="15.75" customHeight="1">
      <c r="J773" s="40"/>
      <c r="K773" s="40"/>
      <c r="L773" s="40"/>
      <c r="M773" s="40"/>
      <c r="N773" s="40"/>
      <c r="O773" s="40"/>
      <c r="P773" s="40"/>
      <c r="Q773" s="40"/>
      <c r="R773" s="40"/>
    </row>
    <row r="774" spans="10:18" ht="15.75" customHeight="1">
      <c r="J774" s="40"/>
      <c r="K774" s="40"/>
      <c r="L774" s="40"/>
      <c r="M774" s="40"/>
      <c r="N774" s="40"/>
      <c r="O774" s="40"/>
      <c r="P774" s="40"/>
      <c r="Q774" s="40"/>
      <c r="R774" s="40"/>
    </row>
    <row r="775" spans="10:18" ht="15.75" customHeight="1">
      <c r="J775" s="40"/>
      <c r="K775" s="40"/>
      <c r="L775" s="40"/>
      <c r="M775" s="40"/>
      <c r="N775" s="40"/>
      <c r="O775" s="40"/>
      <c r="P775" s="40"/>
      <c r="Q775" s="40"/>
      <c r="R775" s="40"/>
    </row>
    <row r="776" spans="10:18" ht="15.75" customHeight="1">
      <c r="J776" s="40"/>
      <c r="K776" s="40"/>
      <c r="L776" s="40"/>
      <c r="M776" s="40"/>
      <c r="N776" s="40"/>
      <c r="O776" s="40"/>
      <c r="P776" s="40"/>
      <c r="Q776" s="40"/>
      <c r="R776" s="40"/>
    </row>
    <row r="777" spans="10:18" ht="15.75" customHeight="1">
      <c r="J777" s="40"/>
      <c r="K777" s="40"/>
      <c r="L777" s="40"/>
      <c r="M777" s="40"/>
      <c r="N777" s="40"/>
      <c r="O777" s="40"/>
      <c r="P777" s="40"/>
      <c r="Q777" s="40"/>
      <c r="R777" s="40"/>
    </row>
    <row r="778" spans="10:18" ht="15.75" customHeight="1">
      <c r="J778" s="40"/>
      <c r="K778" s="40"/>
      <c r="L778" s="40"/>
      <c r="M778" s="40"/>
      <c r="N778" s="40"/>
      <c r="O778" s="40"/>
      <c r="P778" s="40"/>
      <c r="Q778" s="40"/>
      <c r="R778" s="40"/>
    </row>
    <row r="779" spans="10:18" ht="15.75" customHeight="1">
      <c r="J779" s="40"/>
      <c r="K779" s="40"/>
      <c r="L779" s="40"/>
      <c r="M779" s="40"/>
      <c r="N779" s="40"/>
      <c r="O779" s="40"/>
      <c r="P779" s="40"/>
      <c r="Q779" s="40"/>
      <c r="R779" s="40"/>
    </row>
    <row r="780" spans="10:18" ht="15.75" customHeight="1">
      <c r="J780" s="40"/>
      <c r="K780" s="40"/>
      <c r="L780" s="40"/>
      <c r="M780" s="40"/>
      <c r="N780" s="40"/>
      <c r="O780" s="40"/>
      <c r="P780" s="40"/>
      <c r="Q780" s="40"/>
      <c r="R780" s="40"/>
    </row>
    <row r="781" spans="10:18" ht="15.75" customHeight="1">
      <c r="J781" s="40"/>
      <c r="K781" s="40"/>
      <c r="L781" s="40"/>
      <c r="M781" s="40"/>
      <c r="N781" s="40"/>
      <c r="O781" s="40"/>
      <c r="P781" s="40"/>
      <c r="Q781" s="40"/>
      <c r="R781" s="40"/>
    </row>
    <row r="782" spans="10:18" ht="15.75" customHeight="1">
      <c r="J782" s="40"/>
      <c r="K782" s="40"/>
      <c r="L782" s="40"/>
      <c r="M782" s="40"/>
      <c r="N782" s="40"/>
      <c r="O782" s="40"/>
      <c r="P782" s="40"/>
      <c r="Q782" s="40"/>
      <c r="R782" s="40"/>
    </row>
    <row r="783" spans="10:18" ht="15.75" customHeight="1">
      <c r="J783" s="40"/>
      <c r="K783" s="40"/>
      <c r="L783" s="40"/>
      <c r="M783" s="40"/>
      <c r="N783" s="40"/>
      <c r="O783" s="40"/>
      <c r="P783" s="40"/>
      <c r="Q783" s="40"/>
      <c r="R783" s="40"/>
    </row>
    <row r="784" spans="10:18" ht="15.75" customHeight="1">
      <c r="J784" s="40"/>
      <c r="K784" s="40"/>
      <c r="L784" s="40"/>
      <c r="M784" s="40"/>
      <c r="N784" s="40"/>
      <c r="O784" s="40"/>
      <c r="P784" s="40"/>
      <c r="Q784" s="40"/>
      <c r="R784" s="40"/>
    </row>
    <row r="785" spans="10:18" ht="15.75" customHeight="1">
      <c r="J785" s="40"/>
      <c r="K785" s="40"/>
      <c r="L785" s="40"/>
      <c r="M785" s="40"/>
      <c r="N785" s="40"/>
      <c r="O785" s="40"/>
      <c r="P785" s="40"/>
      <c r="Q785" s="40"/>
      <c r="R785" s="40"/>
    </row>
    <row r="786" spans="10:18" ht="15.75" customHeight="1">
      <c r="J786" s="40"/>
      <c r="K786" s="40"/>
      <c r="L786" s="40"/>
      <c r="M786" s="40"/>
      <c r="N786" s="40"/>
      <c r="O786" s="40"/>
      <c r="P786" s="40"/>
      <c r="Q786" s="40"/>
      <c r="R786" s="40"/>
    </row>
    <row r="787" spans="10:18" ht="15.75" customHeight="1">
      <c r="J787" s="40"/>
      <c r="K787" s="40"/>
      <c r="L787" s="40"/>
      <c r="M787" s="40"/>
      <c r="N787" s="40"/>
      <c r="O787" s="40"/>
      <c r="P787" s="40"/>
      <c r="Q787" s="40"/>
      <c r="R787" s="40"/>
    </row>
    <row r="788" spans="10:18" ht="15.75" customHeight="1">
      <c r="J788" s="40"/>
      <c r="K788" s="40"/>
      <c r="L788" s="40"/>
      <c r="M788" s="40"/>
      <c r="N788" s="40"/>
      <c r="O788" s="40"/>
      <c r="P788" s="40"/>
      <c r="Q788" s="40"/>
      <c r="R788" s="40"/>
    </row>
    <row r="789" spans="10:18" ht="15.75" customHeight="1">
      <c r="J789" s="40"/>
      <c r="K789" s="40"/>
      <c r="L789" s="40"/>
      <c r="M789" s="40"/>
      <c r="N789" s="40"/>
      <c r="O789" s="40"/>
      <c r="P789" s="40"/>
      <c r="Q789" s="40"/>
      <c r="R789" s="40"/>
    </row>
    <row r="790" spans="10:18" ht="15.75" customHeight="1">
      <c r="J790" s="40"/>
      <c r="K790" s="40"/>
      <c r="L790" s="40"/>
      <c r="M790" s="40"/>
      <c r="N790" s="40"/>
      <c r="O790" s="40"/>
      <c r="P790" s="40"/>
      <c r="Q790" s="40"/>
      <c r="R790" s="40"/>
    </row>
    <row r="791" spans="10:18" ht="15.75" customHeight="1">
      <c r="J791" s="40"/>
      <c r="K791" s="40"/>
      <c r="L791" s="40"/>
      <c r="M791" s="40"/>
      <c r="N791" s="40"/>
      <c r="O791" s="40"/>
      <c r="P791" s="40"/>
      <c r="Q791" s="40"/>
      <c r="R791" s="40"/>
    </row>
    <row r="792" spans="10:18" ht="15.75" customHeight="1">
      <c r="J792" s="40"/>
      <c r="K792" s="40"/>
      <c r="L792" s="40"/>
      <c r="M792" s="40"/>
      <c r="N792" s="40"/>
      <c r="O792" s="40"/>
      <c r="P792" s="40"/>
      <c r="Q792" s="40"/>
      <c r="R792" s="40"/>
    </row>
    <row r="793" spans="10:18" ht="15.75" customHeight="1">
      <c r="J793" s="40"/>
      <c r="K793" s="40"/>
      <c r="L793" s="40"/>
      <c r="M793" s="40"/>
      <c r="N793" s="40"/>
      <c r="O793" s="40"/>
      <c r="P793" s="40"/>
      <c r="Q793" s="40"/>
      <c r="R793" s="40"/>
    </row>
    <row r="794" spans="10:18" ht="15.75" customHeight="1">
      <c r="J794" s="40"/>
      <c r="K794" s="40"/>
      <c r="L794" s="40"/>
      <c r="M794" s="40"/>
      <c r="N794" s="40"/>
      <c r="O794" s="40"/>
      <c r="P794" s="40"/>
      <c r="Q794" s="40"/>
      <c r="R794" s="40"/>
    </row>
    <row r="795" spans="10:18" ht="15.75" customHeight="1">
      <c r="J795" s="40"/>
      <c r="K795" s="40"/>
      <c r="L795" s="40"/>
      <c r="M795" s="40"/>
      <c r="N795" s="40"/>
      <c r="O795" s="40"/>
      <c r="P795" s="40"/>
      <c r="Q795" s="40"/>
      <c r="R795" s="40"/>
    </row>
    <row r="796" spans="10:18" ht="15.75" customHeight="1">
      <c r="J796" s="40"/>
      <c r="K796" s="40"/>
      <c r="L796" s="40"/>
      <c r="M796" s="40"/>
      <c r="N796" s="40"/>
      <c r="O796" s="40"/>
      <c r="P796" s="40"/>
      <c r="Q796" s="40"/>
      <c r="R796" s="40"/>
    </row>
    <row r="797" spans="10:18" ht="15.75" customHeight="1">
      <c r="J797" s="40"/>
      <c r="K797" s="40"/>
      <c r="L797" s="40"/>
      <c r="M797" s="40"/>
      <c r="N797" s="40"/>
      <c r="O797" s="40"/>
      <c r="P797" s="40"/>
      <c r="Q797" s="40"/>
      <c r="R797" s="40"/>
    </row>
    <row r="798" spans="10:18" ht="15.75" customHeight="1">
      <c r="J798" s="40"/>
      <c r="K798" s="40"/>
      <c r="L798" s="40"/>
      <c r="M798" s="40"/>
      <c r="N798" s="40"/>
      <c r="O798" s="40"/>
      <c r="P798" s="40"/>
      <c r="Q798" s="40"/>
      <c r="R798" s="40"/>
    </row>
    <row r="799" spans="10:18" ht="15.75" customHeight="1">
      <c r="J799" s="40"/>
      <c r="K799" s="40"/>
      <c r="L799" s="40"/>
      <c r="M799" s="40"/>
      <c r="N799" s="40"/>
      <c r="O799" s="40"/>
      <c r="P799" s="40"/>
      <c r="Q799" s="40"/>
      <c r="R799" s="40"/>
    </row>
    <row r="800" spans="10:18" ht="15.75" customHeight="1">
      <c r="J800" s="40"/>
      <c r="K800" s="40"/>
      <c r="L800" s="40"/>
      <c r="M800" s="40"/>
      <c r="N800" s="40"/>
      <c r="O800" s="40"/>
      <c r="P800" s="40"/>
      <c r="Q800" s="40"/>
      <c r="R800" s="40"/>
    </row>
    <row r="801" spans="10:18" ht="15.75" customHeight="1">
      <c r="J801" s="40"/>
      <c r="K801" s="40"/>
      <c r="L801" s="40"/>
      <c r="M801" s="40"/>
      <c r="N801" s="40"/>
      <c r="O801" s="40"/>
      <c r="P801" s="40"/>
      <c r="Q801" s="40"/>
      <c r="R801" s="40"/>
    </row>
    <row r="802" spans="10:18" ht="15.75" customHeight="1">
      <c r="J802" s="40"/>
      <c r="K802" s="40"/>
      <c r="L802" s="40"/>
      <c r="M802" s="40"/>
      <c r="N802" s="40"/>
      <c r="O802" s="40"/>
      <c r="P802" s="40"/>
      <c r="Q802" s="40"/>
      <c r="R802" s="40"/>
    </row>
    <row r="803" spans="10:18" ht="15.75" customHeight="1">
      <c r="J803" s="40"/>
      <c r="K803" s="40"/>
      <c r="L803" s="40"/>
      <c r="M803" s="40"/>
      <c r="N803" s="40"/>
      <c r="O803" s="40"/>
      <c r="P803" s="40"/>
      <c r="Q803" s="40"/>
      <c r="R803" s="40"/>
    </row>
    <row r="804" spans="10:18" ht="15.75" customHeight="1">
      <c r="J804" s="40"/>
      <c r="K804" s="40"/>
      <c r="L804" s="40"/>
      <c r="M804" s="40"/>
      <c r="N804" s="40"/>
      <c r="O804" s="40"/>
      <c r="P804" s="40"/>
      <c r="Q804" s="40"/>
      <c r="R804" s="40"/>
    </row>
    <row r="805" spans="10:18" ht="15.75" customHeight="1">
      <c r="J805" s="40"/>
      <c r="K805" s="40"/>
      <c r="L805" s="40"/>
      <c r="M805" s="40"/>
      <c r="N805" s="40"/>
      <c r="O805" s="40"/>
      <c r="P805" s="40"/>
      <c r="Q805" s="40"/>
      <c r="R805" s="40"/>
    </row>
    <row r="806" spans="10:18" ht="15.75" customHeight="1">
      <c r="J806" s="40"/>
      <c r="K806" s="40"/>
      <c r="L806" s="40"/>
      <c r="M806" s="40"/>
      <c r="N806" s="40"/>
      <c r="O806" s="40"/>
      <c r="P806" s="40"/>
      <c r="Q806" s="40"/>
      <c r="R806" s="40"/>
    </row>
    <row r="807" spans="10:18" ht="15.75" customHeight="1">
      <c r="J807" s="40"/>
      <c r="K807" s="40"/>
      <c r="L807" s="40"/>
      <c r="M807" s="40"/>
      <c r="N807" s="40"/>
      <c r="O807" s="40"/>
      <c r="P807" s="40"/>
      <c r="Q807" s="40"/>
      <c r="R807" s="40"/>
    </row>
    <row r="808" spans="10:18" ht="15.75" customHeight="1">
      <c r="J808" s="40"/>
      <c r="K808" s="40"/>
      <c r="L808" s="40"/>
      <c r="M808" s="40"/>
      <c r="N808" s="40"/>
      <c r="O808" s="40"/>
      <c r="P808" s="40"/>
      <c r="Q808" s="40"/>
      <c r="R808" s="40"/>
    </row>
    <row r="809" spans="10:18" ht="15.75" customHeight="1">
      <c r="J809" s="40"/>
      <c r="K809" s="40"/>
      <c r="L809" s="40"/>
      <c r="M809" s="40"/>
      <c r="N809" s="40"/>
      <c r="O809" s="40"/>
      <c r="P809" s="40"/>
      <c r="Q809" s="40"/>
      <c r="R809" s="40"/>
    </row>
    <row r="810" spans="10:18" ht="15.75" customHeight="1">
      <c r="J810" s="40"/>
      <c r="K810" s="40"/>
      <c r="L810" s="40"/>
      <c r="M810" s="40"/>
      <c r="N810" s="40"/>
      <c r="O810" s="40"/>
      <c r="P810" s="40"/>
      <c r="Q810" s="40"/>
      <c r="R810" s="40"/>
    </row>
    <row r="811" spans="10:18" ht="15.75" customHeight="1">
      <c r="J811" s="40"/>
      <c r="K811" s="40"/>
      <c r="L811" s="40"/>
      <c r="M811" s="40"/>
      <c r="N811" s="40"/>
      <c r="O811" s="40"/>
      <c r="P811" s="40"/>
      <c r="Q811" s="40"/>
      <c r="R811" s="40"/>
    </row>
    <row r="812" spans="10:18" ht="15.75" customHeight="1">
      <c r="J812" s="40"/>
      <c r="K812" s="40"/>
      <c r="L812" s="40"/>
      <c r="M812" s="40"/>
      <c r="N812" s="40"/>
      <c r="O812" s="40"/>
      <c r="P812" s="40"/>
      <c r="Q812" s="40"/>
      <c r="R812" s="40"/>
    </row>
    <row r="813" spans="10:18" ht="15.75" customHeight="1">
      <c r="J813" s="40"/>
      <c r="K813" s="40"/>
      <c r="L813" s="40"/>
      <c r="M813" s="40"/>
      <c r="N813" s="40"/>
      <c r="O813" s="40"/>
      <c r="P813" s="40"/>
      <c r="Q813" s="40"/>
      <c r="R813" s="40"/>
    </row>
    <row r="814" spans="10:18" ht="15.75" customHeight="1">
      <c r="J814" s="40"/>
      <c r="K814" s="40"/>
      <c r="L814" s="40"/>
      <c r="M814" s="40"/>
      <c r="N814" s="40"/>
      <c r="O814" s="40"/>
      <c r="P814" s="40"/>
      <c r="Q814" s="40"/>
      <c r="R814" s="40"/>
    </row>
    <row r="815" spans="10:18" ht="15.75" customHeight="1">
      <c r="J815" s="40"/>
      <c r="K815" s="40"/>
      <c r="L815" s="40"/>
      <c r="M815" s="40"/>
      <c r="N815" s="40"/>
      <c r="O815" s="40"/>
      <c r="P815" s="40"/>
      <c r="Q815" s="40"/>
      <c r="R815" s="40"/>
    </row>
    <row r="816" spans="10:18" ht="15.75" customHeight="1">
      <c r="J816" s="40"/>
      <c r="K816" s="40"/>
      <c r="L816" s="40"/>
      <c r="M816" s="40"/>
      <c r="N816" s="40"/>
      <c r="O816" s="40"/>
      <c r="P816" s="40"/>
      <c r="Q816" s="40"/>
      <c r="R816" s="40"/>
    </row>
    <row r="817" spans="10:18" ht="15.75" customHeight="1">
      <c r="J817" s="40"/>
      <c r="K817" s="40"/>
      <c r="L817" s="40"/>
      <c r="M817" s="40"/>
      <c r="N817" s="40"/>
      <c r="O817" s="40"/>
      <c r="P817" s="40"/>
      <c r="Q817" s="40"/>
      <c r="R817" s="40"/>
    </row>
    <row r="818" spans="10:18" ht="15.75" customHeight="1">
      <c r="J818" s="40"/>
      <c r="K818" s="40"/>
      <c r="L818" s="40"/>
      <c r="M818" s="40"/>
      <c r="N818" s="40"/>
      <c r="O818" s="40"/>
      <c r="P818" s="40"/>
      <c r="Q818" s="40"/>
      <c r="R818" s="40"/>
    </row>
    <row r="819" spans="10:18" ht="15.75" customHeight="1">
      <c r="J819" s="40"/>
      <c r="K819" s="40"/>
      <c r="L819" s="40"/>
      <c r="M819" s="40"/>
      <c r="N819" s="40"/>
      <c r="O819" s="40"/>
      <c r="P819" s="40"/>
      <c r="Q819" s="40"/>
      <c r="R819" s="40"/>
    </row>
    <row r="820" spans="10:18" ht="15.75" customHeight="1">
      <c r="J820" s="40"/>
      <c r="K820" s="40"/>
      <c r="L820" s="40"/>
      <c r="M820" s="40"/>
      <c r="N820" s="40"/>
      <c r="O820" s="40"/>
      <c r="P820" s="40"/>
      <c r="Q820" s="40"/>
      <c r="R820" s="40"/>
    </row>
    <row r="821" spans="10:18" ht="15.75" customHeight="1">
      <c r="J821" s="40"/>
      <c r="K821" s="40"/>
      <c r="L821" s="40"/>
      <c r="M821" s="40"/>
      <c r="N821" s="40"/>
      <c r="O821" s="40"/>
      <c r="P821" s="40"/>
      <c r="Q821" s="40"/>
      <c r="R821" s="40"/>
    </row>
    <row r="822" spans="10:18" ht="15.75" customHeight="1">
      <c r="J822" s="40"/>
      <c r="K822" s="40"/>
      <c r="L822" s="40"/>
      <c r="M822" s="40"/>
      <c r="N822" s="40"/>
      <c r="O822" s="40"/>
      <c r="P822" s="40"/>
      <c r="Q822" s="40"/>
      <c r="R822" s="40"/>
    </row>
    <row r="823" spans="10:18" ht="15.75" customHeight="1">
      <c r="J823" s="40"/>
      <c r="K823" s="40"/>
      <c r="L823" s="40"/>
      <c r="M823" s="40"/>
      <c r="N823" s="40"/>
      <c r="O823" s="40"/>
      <c r="P823" s="40"/>
      <c r="Q823" s="40"/>
      <c r="R823" s="40"/>
    </row>
    <row r="824" spans="10:18" ht="15.75" customHeight="1">
      <c r="J824" s="40"/>
      <c r="K824" s="40"/>
      <c r="L824" s="40"/>
      <c r="M824" s="40"/>
      <c r="N824" s="40"/>
      <c r="O824" s="40"/>
      <c r="P824" s="40"/>
      <c r="Q824" s="40"/>
      <c r="R824" s="40"/>
    </row>
    <row r="825" spans="10:18" ht="15.75" customHeight="1">
      <c r="J825" s="40"/>
      <c r="K825" s="40"/>
      <c r="L825" s="40"/>
      <c r="M825" s="40"/>
      <c r="N825" s="40"/>
      <c r="O825" s="40"/>
      <c r="P825" s="40"/>
      <c r="Q825" s="40"/>
      <c r="R825" s="40"/>
    </row>
    <row r="826" spans="10:18" ht="15.75" customHeight="1">
      <c r="J826" s="40"/>
      <c r="K826" s="40"/>
      <c r="L826" s="40"/>
      <c r="M826" s="40"/>
      <c r="N826" s="40"/>
      <c r="O826" s="40"/>
      <c r="P826" s="40"/>
      <c r="Q826" s="40"/>
      <c r="R826" s="40"/>
    </row>
    <row r="827" spans="10:18" ht="15.75" customHeight="1">
      <c r="J827" s="40"/>
      <c r="K827" s="40"/>
      <c r="L827" s="40"/>
      <c r="M827" s="40"/>
      <c r="N827" s="40"/>
      <c r="O827" s="40"/>
      <c r="P827" s="40"/>
      <c r="Q827" s="40"/>
      <c r="R827" s="40"/>
    </row>
    <row r="828" spans="10:18" ht="15.75" customHeight="1">
      <c r="J828" s="40"/>
      <c r="K828" s="40"/>
      <c r="L828" s="40"/>
      <c r="M828" s="40"/>
      <c r="N828" s="40"/>
      <c r="O828" s="40"/>
      <c r="P828" s="40"/>
      <c r="Q828" s="40"/>
      <c r="R828" s="40"/>
    </row>
    <row r="829" spans="10:18" ht="15.75" customHeight="1">
      <c r="J829" s="40"/>
      <c r="K829" s="40"/>
      <c r="L829" s="40"/>
      <c r="M829" s="40"/>
      <c r="N829" s="40"/>
      <c r="O829" s="40"/>
      <c r="P829" s="40"/>
      <c r="Q829" s="40"/>
      <c r="R829" s="40"/>
    </row>
    <row r="830" spans="10:18" ht="15.75" customHeight="1">
      <c r="J830" s="40"/>
      <c r="K830" s="40"/>
      <c r="L830" s="40"/>
      <c r="M830" s="40"/>
      <c r="N830" s="40"/>
      <c r="O830" s="40"/>
      <c r="P830" s="40"/>
      <c r="Q830" s="40"/>
      <c r="R830" s="40"/>
    </row>
    <row r="831" spans="10:18" ht="15.75" customHeight="1">
      <c r="J831" s="40"/>
      <c r="K831" s="40"/>
      <c r="L831" s="40"/>
      <c r="M831" s="40"/>
      <c r="N831" s="40"/>
      <c r="O831" s="40"/>
      <c r="P831" s="40"/>
      <c r="Q831" s="40"/>
      <c r="R831" s="40"/>
    </row>
    <row r="832" spans="10:18" ht="15.75" customHeight="1">
      <c r="J832" s="40"/>
      <c r="K832" s="40"/>
      <c r="L832" s="40"/>
      <c r="M832" s="40"/>
      <c r="N832" s="40"/>
      <c r="O832" s="40"/>
      <c r="P832" s="40"/>
      <c r="Q832" s="40"/>
      <c r="R832" s="40"/>
    </row>
    <row r="833" spans="10:18" ht="15.75" customHeight="1">
      <c r="J833" s="40"/>
      <c r="K833" s="40"/>
      <c r="L833" s="40"/>
      <c r="M833" s="40"/>
      <c r="N833" s="40"/>
      <c r="O833" s="40"/>
      <c r="P833" s="40"/>
      <c r="Q833" s="40"/>
      <c r="R833" s="40"/>
    </row>
    <row r="834" spans="10:18" ht="15.75" customHeight="1">
      <c r="J834" s="40"/>
      <c r="K834" s="40"/>
      <c r="L834" s="40"/>
      <c r="M834" s="40"/>
      <c r="N834" s="40"/>
      <c r="O834" s="40"/>
      <c r="P834" s="40"/>
      <c r="Q834" s="40"/>
      <c r="R834" s="40"/>
    </row>
    <row r="835" spans="10:18" ht="15.75" customHeight="1">
      <c r="J835" s="40"/>
      <c r="K835" s="40"/>
      <c r="L835" s="40"/>
      <c r="M835" s="40"/>
      <c r="N835" s="40"/>
      <c r="O835" s="40"/>
      <c r="P835" s="40"/>
      <c r="Q835" s="40"/>
      <c r="R835" s="40"/>
    </row>
    <row r="836" spans="10:18" ht="15.75" customHeight="1">
      <c r="J836" s="40"/>
      <c r="K836" s="40"/>
      <c r="L836" s="40"/>
      <c r="M836" s="40"/>
      <c r="N836" s="40"/>
      <c r="O836" s="40"/>
      <c r="P836" s="40"/>
      <c r="Q836" s="40"/>
      <c r="R836" s="40"/>
    </row>
    <row r="837" spans="10:18" ht="15.75" customHeight="1">
      <c r="J837" s="40"/>
      <c r="K837" s="40"/>
      <c r="L837" s="40"/>
      <c r="M837" s="40"/>
      <c r="N837" s="40"/>
      <c r="O837" s="40"/>
      <c r="P837" s="40"/>
      <c r="Q837" s="40"/>
      <c r="R837" s="40"/>
    </row>
    <row r="838" spans="10:18" ht="15.75" customHeight="1">
      <c r="J838" s="40"/>
      <c r="K838" s="40"/>
      <c r="L838" s="40"/>
      <c r="M838" s="40"/>
      <c r="N838" s="40"/>
      <c r="O838" s="40"/>
      <c r="P838" s="40"/>
      <c r="Q838" s="40"/>
      <c r="R838" s="40"/>
    </row>
    <row r="839" spans="10:18" ht="15.75" customHeight="1">
      <c r="J839" s="40"/>
      <c r="K839" s="40"/>
      <c r="L839" s="40"/>
      <c r="M839" s="40"/>
      <c r="N839" s="40"/>
      <c r="O839" s="40"/>
      <c r="P839" s="40"/>
      <c r="Q839" s="40"/>
      <c r="R839" s="40"/>
    </row>
    <row r="840" spans="10:18" ht="15.75" customHeight="1">
      <c r="J840" s="40"/>
      <c r="K840" s="40"/>
      <c r="L840" s="40"/>
      <c r="M840" s="40"/>
      <c r="N840" s="40"/>
      <c r="O840" s="40"/>
      <c r="P840" s="40"/>
      <c r="Q840" s="40"/>
      <c r="R840" s="40"/>
    </row>
    <row r="841" spans="10:18" ht="15.75" customHeight="1">
      <c r="J841" s="40"/>
      <c r="K841" s="40"/>
      <c r="L841" s="40"/>
      <c r="M841" s="40"/>
      <c r="N841" s="40"/>
      <c r="O841" s="40"/>
      <c r="P841" s="40"/>
      <c r="Q841" s="40"/>
      <c r="R841" s="40"/>
    </row>
    <row r="842" spans="10:18" ht="15.75" customHeight="1">
      <c r="J842" s="40"/>
      <c r="K842" s="40"/>
      <c r="L842" s="40"/>
      <c r="M842" s="40"/>
      <c r="N842" s="40"/>
      <c r="O842" s="40"/>
      <c r="P842" s="40"/>
      <c r="Q842" s="40"/>
      <c r="R842" s="40"/>
    </row>
    <row r="843" spans="10:18" ht="15.75" customHeight="1">
      <c r="J843" s="40"/>
      <c r="K843" s="40"/>
      <c r="L843" s="40"/>
      <c r="M843" s="40"/>
      <c r="N843" s="40"/>
      <c r="O843" s="40"/>
      <c r="P843" s="40"/>
      <c r="Q843" s="40"/>
      <c r="R843" s="40"/>
    </row>
    <row r="844" spans="10:18" ht="15.75" customHeight="1">
      <c r="J844" s="40"/>
      <c r="K844" s="40"/>
      <c r="L844" s="40"/>
      <c r="M844" s="40"/>
      <c r="N844" s="40"/>
      <c r="O844" s="40"/>
      <c r="P844" s="40"/>
      <c r="Q844" s="40"/>
      <c r="R844" s="40"/>
    </row>
    <row r="845" spans="10:18" ht="15.75" customHeight="1">
      <c r="J845" s="40"/>
      <c r="K845" s="40"/>
      <c r="L845" s="40"/>
      <c r="M845" s="40"/>
      <c r="N845" s="40"/>
      <c r="O845" s="40"/>
      <c r="P845" s="40"/>
      <c r="Q845" s="40"/>
      <c r="R845" s="40"/>
    </row>
    <row r="846" spans="10:18" ht="15.75" customHeight="1">
      <c r="J846" s="40"/>
      <c r="K846" s="40"/>
      <c r="L846" s="40"/>
      <c r="M846" s="40"/>
      <c r="N846" s="40"/>
      <c r="O846" s="40"/>
      <c r="P846" s="40"/>
      <c r="Q846" s="40"/>
      <c r="R846" s="40"/>
    </row>
    <row r="847" spans="10:18" ht="15.75" customHeight="1">
      <c r="J847" s="40"/>
      <c r="K847" s="40"/>
      <c r="L847" s="40"/>
      <c r="M847" s="40"/>
      <c r="N847" s="40"/>
      <c r="O847" s="40"/>
      <c r="P847" s="40"/>
      <c r="Q847" s="40"/>
      <c r="R847" s="40"/>
    </row>
    <row r="848" spans="10:18" ht="15.75" customHeight="1">
      <c r="J848" s="40"/>
      <c r="K848" s="40"/>
      <c r="L848" s="40"/>
      <c r="M848" s="40"/>
      <c r="N848" s="40"/>
      <c r="O848" s="40"/>
      <c r="P848" s="40"/>
      <c r="Q848" s="40"/>
      <c r="R848" s="40"/>
    </row>
    <row r="849" spans="10:18" ht="15.75" customHeight="1">
      <c r="J849" s="40"/>
      <c r="K849" s="40"/>
      <c r="L849" s="40"/>
      <c r="M849" s="40"/>
      <c r="N849" s="40"/>
      <c r="O849" s="40"/>
      <c r="P849" s="40"/>
      <c r="Q849" s="40"/>
      <c r="R849" s="40"/>
    </row>
    <row r="850" spans="10:18" ht="15.75" customHeight="1">
      <c r="J850" s="40"/>
      <c r="K850" s="40"/>
      <c r="L850" s="40"/>
      <c r="M850" s="40"/>
      <c r="N850" s="40"/>
      <c r="O850" s="40"/>
      <c r="P850" s="40"/>
      <c r="Q850" s="40"/>
      <c r="R850" s="40"/>
    </row>
    <row r="851" spans="10:18" ht="15.75" customHeight="1">
      <c r="J851" s="40"/>
      <c r="K851" s="40"/>
      <c r="L851" s="40"/>
      <c r="M851" s="40"/>
      <c r="N851" s="40"/>
      <c r="O851" s="40"/>
      <c r="P851" s="40"/>
      <c r="Q851" s="40"/>
      <c r="R851" s="40"/>
    </row>
    <row r="852" spans="10:18" ht="15.75" customHeight="1">
      <c r="J852" s="40"/>
      <c r="K852" s="40"/>
      <c r="L852" s="40"/>
      <c r="M852" s="40"/>
      <c r="N852" s="40"/>
      <c r="O852" s="40"/>
      <c r="P852" s="40"/>
      <c r="Q852" s="40"/>
      <c r="R852" s="40"/>
    </row>
    <row r="853" spans="10:18" ht="15.75" customHeight="1">
      <c r="J853" s="40"/>
      <c r="K853" s="40"/>
      <c r="L853" s="40"/>
      <c r="M853" s="40"/>
      <c r="N853" s="40"/>
      <c r="O853" s="40"/>
      <c r="P853" s="40"/>
      <c r="Q853" s="40"/>
      <c r="R853" s="40"/>
    </row>
    <row r="854" spans="10:18" ht="15.75" customHeight="1">
      <c r="J854" s="40"/>
      <c r="K854" s="40"/>
      <c r="L854" s="40"/>
      <c r="M854" s="40"/>
      <c r="N854" s="40"/>
      <c r="O854" s="40"/>
      <c r="P854" s="40"/>
      <c r="Q854" s="40"/>
      <c r="R854" s="40"/>
    </row>
    <row r="855" spans="10:18" ht="15.75" customHeight="1">
      <c r="J855" s="40"/>
      <c r="K855" s="40"/>
      <c r="L855" s="40"/>
      <c r="M855" s="40"/>
      <c r="N855" s="40"/>
      <c r="O855" s="40"/>
      <c r="P855" s="40"/>
      <c r="Q855" s="40"/>
      <c r="R855" s="40"/>
    </row>
    <row r="856" spans="10:18" ht="15.75" customHeight="1">
      <c r="J856" s="40"/>
      <c r="K856" s="40"/>
      <c r="L856" s="40"/>
      <c r="M856" s="40"/>
      <c r="N856" s="40"/>
      <c r="O856" s="40"/>
      <c r="P856" s="40"/>
      <c r="Q856" s="40"/>
      <c r="R856" s="40"/>
    </row>
    <row r="857" spans="10:18" ht="15.75" customHeight="1">
      <c r="J857" s="40"/>
      <c r="K857" s="40"/>
      <c r="L857" s="40"/>
      <c r="M857" s="40"/>
      <c r="N857" s="40"/>
      <c r="O857" s="40"/>
      <c r="P857" s="40"/>
      <c r="Q857" s="40"/>
      <c r="R857" s="40"/>
    </row>
    <row r="858" spans="10:18" ht="15.75" customHeight="1">
      <c r="J858" s="40"/>
      <c r="K858" s="40"/>
      <c r="L858" s="40"/>
      <c r="M858" s="40"/>
      <c r="N858" s="40"/>
      <c r="O858" s="40"/>
      <c r="P858" s="40"/>
      <c r="Q858" s="40"/>
      <c r="R858" s="40"/>
    </row>
    <row r="859" spans="10:18" ht="15.75" customHeight="1">
      <c r="J859" s="40"/>
      <c r="K859" s="40"/>
      <c r="L859" s="40"/>
      <c r="M859" s="40"/>
      <c r="N859" s="40"/>
      <c r="O859" s="40"/>
      <c r="P859" s="40"/>
      <c r="Q859" s="40"/>
      <c r="R859" s="40"/>
    </row>
    <row r="860" spans="10:18" ht="15.75" customHeight="1">
      <c r="J860" s="40"/>
      <c r="K860" s="40"/>
      <c r="L860" s="40"/>
      <c r="M860" s="40"/>
      <c r="N860" s="40"/>
      <c r="O860" s="40"/>
      <c r="P860" s="40"/>
      <c r="Q860" s="40"/>
      <c r="R860" s="40"/>
    </row>
    <row r="861" spans="10:18" ht="15.75" customHeight="1">
      <c r="J861" s="40"/>
      <c r="K861" s="40"/>
      <c r="L861" s="40"/>
      <c r="M861" s="40"/>
      <c r="N861" s="40"/>
      <c r="O861" s="40"/>
      <c r="P861" s="40"/>
      <c r="Q861" s="40"/>
      <c r="R861" s="40"/>
    </row>
    <row r="862" spans="10:18" ht="15.75" customHeight="1">
      <c r="J862" s="40"/>
      <c r="K862" s="40"/>
      <c r="L862" s="40"/>
      <c r="M862" s="40"/>
      <c r="N862" s="40"/>
      <c r="O862" s="40"/>
      <c r="P862" s="40"/>
      <c r="Q862" s="40"/>
      <c r="R862" s="40"/>
    </row>
    <row r="863" spans="10:18" ht="15.75" customHeight="1">
      <c r="J863" s="40"/>
      <c r="K863" s="40"/>
      <c r="L863" s="40"/>
      <c r="M863" s="40"/>
      <c r="N863" s="40"/>
      <c r="O863" s="40"/>
      <c r="P863" s="40"/>
      <c r="Q863" s="40"/>
      <c r="R863" s="40"/>
    </row>
    <row r="864" spans="10:18" ht="15.75" customHeight="1">
      <c r="J864" s="40"/>
      <c r="K864" s="40"/>
      <c r="L864" s="40"/>
      <c r="M864" s="40"/>
      <c r="N864" s="40"/>
      <c r="O864" s="40"/>
      <c r="P864" s="40"/>
      <c r="Q864" s="40"/>
      <c r="R864" s="40"/>
    </row>
    <row r="865" spans="10:18" ht="15.75" customHeight="1">
      <c r="J865" s="40"/>
      <c r="K865" s="40"/>
      <c r="L865" s="40"/>
      <c r="M865" s="40"/>
      <c r="N865" s="40"/>
      <c r="O865" s="40"/>
      <c r="P865" s="40"/>
      <c r="Q865" s="40"/>
      <c r="R865" s="40"/>
    </row>
    <row r="866" spans="10:18" ht="15.75" customHeight="1">
      <c r="J866" s="40"/>
      <c r="K866" s="40"/>
      <c r="L866" s="40"/>
      <c r="M866" s="40"/>
      <c r="N866" s="40"/>
      <c r="O866" s="40"/>
      <c r="P866" s="40"/>
      <c r="Q866" s="40"/>
      <c r="R866" s="40"/>
    </row>
    <row r="867" spans="10:18" ht="15.75" customHeight="1">
      <c r="J867" s="40"/>
      <c r="K867" s="40"/>
      <c r="L867" s="40"/>
      <c r="M867" s="40"/>
      <c r="N867" s="40"/>
      <c r="O867" s="40"/>
      <c r="P867" s="40"/>
      <c r="Q867" s="40"/>
      <c r="R867" s="40"/>
    </row>
    <row r="868" spans="10:18" ht="15.75" customHeight="1">
      <c r="J868" s="40"/>
      <c r="K868" s="40"/>
      <c r="L868" s="40"/>
      <c r="M868" s="40"/>
      <c r="N868" s="40"/>
      <c r="O868" s="40"/>
      <c r="P868" s="40"/>
      <c r="Q868" s="40"/>
      <c r="R868" s="40"/>
    </row>
    <row r="869" spans="10:18" ht="15.75" customHeight="1">
      <c r="J869" s="40"/>
      <c r="K869" s="40"/>
      <c r="L869" s="40"/>
      <c r="M869" s="40"/>
      <c r="N869" s="40"/>
      <c r="O869" s="40"/>
      <c r="P869" s="40"/>
      <c r="Q869" s="40"/>
      <c r="R869" s="40"/>
    </row>
    <row r="870" spans="10:18" ht="15.75" customHeight="1">
      <c r="J870" s="40"/>
      <c r="K870" s="40"/>
      <c r="L870" s="40"/>
      <c r="M870" s="40"/>
      <c r="N870" s="40"/>
      <c r="O870" s="40"/>
      <c r="P870" s="40"/>
      <c r="Q870" s="40"/>
      <c r="R870" s="40"/>
    </row>
    <row r="871" spans="10:18" ht="15.75" customHeight="1">
      <c r="J871" s="40"/>
      <c r="K871" s="40"/>
      <c r="L871" s="40"/>
      <c r="M871" s="40"/>
      <c r="N871" s="40"/>
      <c r="O871" s="40"/>
      <c r="P871" s="40"/>
      <c r="Q871" s="40"/>
      <c r="R871" s="40"/>
    </row>
    <row r="872" spans="10:18" ht="15.75" customHeight="1">
      <c r="J872" s="40"/>
      <c r="K872" s="40"/>
      <c r="L872" s="40"/>
      <c r="M872" s="40"/>
      <c r="N872" s="40"/>
      <c r="O872" s="40"/>
      <c r="P872" s="40"/>
      <c r="Q872" s="40"/>
      <c r="R872" s="40"/>
    </row>
    <row r="873" spans="10:18" ht="15.75" customHeight="1">
      <c r="J873" s="40"/>
      <c r="K873" s="40"/>
      <c r="L873" s="40"/>
      <c r="M873" s="40"/>
      <c r="N873" s="40"/>
      <c r="O873" s="40"/>
      <c r="P873" s="40"/>
      <c r="Q873" s="40"/>
      <c r="R873" s="40"/>
    </row>
    <row r="874" spans="10:18" ht="15.75" customHeight="1">
      <c r="J874" s="40"/>
      <c r="K874" s="40"/>
      <c r="L874" s="40"/>
      <c r="M874" s="40"/>
      <c r="N874" s="40"/>
      <c r="O874" s="40"/>
      <c r="P874" s="40"/>
      <c r="Q874" s="40"/>
      <c r="R874" s="40"/>
    </row>
    <row r="875" spans="10:18" ht="15.75" customHeight="1">
      <c r="J875" s="40"/>
      <c r="K875" s="40"/>
      <c r="L875" s="40"/>
      <c r="M875" s="40"/>
      <c r="N875" s="40"/>
      <c r="O875" s="40"/>
      <c r="P875" s="40"/>
      <c r="Q875" s="40"/>
      <c r="R875" s="40"/>
    </row>
    <row r="876" spans="10:18" ht="15.75" customHeight="1">
      <c r="J876" s="40"/>
      <c r="K876" s="40"/>
      <c r="L876" s="40"/>
      <c r="M876" s="40"/>
      <c r="N876" s="40"/>
      <c r="O876" s="40"/>
      <c r="P876" s="40"/>
      <c r="Q876" s="40"/>
      <c r="R876" s="40"/>
    </row>
    <row r="877" spans="10:18" ht="15.75" customHeight="1">
      <c r="J877" s="40"/>
      <c r="K877" s="40"/>
      <c r="L877" s="40"/>
      <c r="M877" s="40"/>
      <c r="N877" s="40"/>
      <c r="O877" s="40"/>
      <c r="P877" s="40"/>
      <c r="Q877" s="40"/>
      <c r="R877" s="40"/>
    </row>
    <row r="878" spans="10:18" ht="15.75" customHeight="1">
      <c r="J878" s="40"/>
      <c r="K878" s="40"/>
      <c r="L878" s="40"/>
      <c r="M878" s="40"/>
      <c r="N878" s="40"/>
      <c r="O878" s="40"/>
      <c r="P878" s="40"/>
      <c r="Q878" s="40"/>
      <c r="R878" s="40"/>
    </row>
    <row r="879" spans="10:18" ht="15.75" customHeight="1">
      <c r="J879" s="40"/>
      <c r="K879" s="40"/>
      <c r="L879" s="40"/>
      <c r="M879" s="40"/>
      <c r="N879" s="40"/>
      <c r="O879" s="40"/>
      <c r="P879" s="40"/>
      <c r="Q879" s="40"/>
      <c r="R879" s="40"/>
    </row>
    <row r="880" spans="10:18" ht="15.75" customHeight="1">
      <c r="J880" s="40"/>
      <c r="K880" s="40"/>
      <c r="L880" s="40"/>
      <c r="M880" s="40"/>
      <c r="N880" s="40"/>
      <c r="O880" s="40"/>
      <c r="P880" s="40"/>
      <c r="Q880" s="40"/>
      <c r="R880" s="40"/>
    </row>
    <row r="881" spans="10:18" ht="15.75" customHeight="1">
      <c r="J881" s="40"/>
      <c r="K881" s="40"/>
      <c r="L881" s="40"/>
      <c r="M881" s="40"/>
      <c r="N881" s="40"/>
      <c r="O881" s="40"/>
      <c r="P881" s="40"/>
      <c r="Q881" s="40"/>
      <c r="R881" s="40"/>
    </row>
    <row r="882" spans="10:18" ht="15.75" customHeight="1">
      <c r="J882" s="40"/>
      <c r="K882" s="40"/>
      <c r="L882" s="40"/>
      <c r="M882" s="40"/>
      <c r="N882" s="40"/>
      <c r="O882" s="40"/>
      <c r="P882" s="40"/>
      <c r="Q882" s="40"/>
      <c r="R882" s="40"/>
    </row>
    <row r="883" spans="10:18" ht="15.75" customHeight="1">
      <c r="J883" s="40"/>
      <c r="K883" s="40"/>
      <c r="L883" s="40"/>
      <c r="M883" s="40"/>
      <c r="N883" s="40"/>
      <c r="O883" s="40"/>
      <c r="P883" s="40"/>
      <c r="Q883" s="40"/>
      <c r="R883" s="40"/>
    </row>
    <row r="884" spans="10:18" ht="15.75" customHeight="1">
      <c r="J884" s="40"/>
      <c r="K884" s="40"/>
      <c r="L884" s="40"/>
      <c r="M884" s="40"/>
      <c r="N884" s="40"/>
      <c r="O884" s="40"/>
      <c r="P884" s="40"/>
      <c r="Q884" s="40"/>
      <c r="R884" s="40"/>
    </row>
    <row r="885" spans="10:18" ht="15.75" customHeight="1">
      <c r="J885" s="40"/>
      <c r="K885" s="40"/>
      <c r="L885" s="40"/>
      <c r="M885" s="40"/>
      <c r="N885" s="40"/>
      <c r="O885" s="40"/>
      <c r="P885" s="40"/>
      <c r="Q885" s="40"/>
      <c r="R885" s="40"/>
    </row>
    <row r="886" spans="10:18" ht="15.75" customHeight="1">
      <c r="J886" s="40"/>
      <c r="K886" s="40"/>
      <c r="L886" s="40"/>
      <c r="M886" s="40"/>
      <c r="N886" s="40"/>
      <c r="O886" s="40"/>
      <c r="P886" s="40"/>
      <c r="Q886" s="40"/>
      <c r="R886" s="40"/>
    </row>
    <row r="887" spans="10:18" ht="15.75" customHeight="1">
      <c r="J887" s="40"/>
      <c r="K887" s="40"/>
      <c r="L887" s="40"/>
      <c r="M887" s="40"/>
      <c r="N887" s="40"/>
      <c r="O887" s="40"/>
      <c r="P887" s="40"/>
      <c r="Q887" s="40"/>
      <c r="R887" s="40"/>
    </row>
    <row r="888" spans="10:18" ht="15.75" customHeight="1">
      <c r="J888" s="40"/>
      <c r="K888" s="40"/>
      <c r="L888" s="40"/>
      <c r="M888" s="40"/>
      <c r="N888" s="40"/>
      <c r="O888" s="40"/>
      <c r="P888" s="40"/>
      <c r="Q888" s="40"/>
      <c r="R888" s="40"/>
    </row>
    <row r="889" spans="10:18" ht="15.75" customHeight="1">
      <c r="J889" s="40"/>
      <c r="K889" s="40"/>
      <c r="L889" s="40"/>
      <c r="M889" s="40"/>
      <c r="N889" s="40"/>
      <c r="O889" s="40"/>
      <c r="P889" s="40"/>
      <c r="Q889" s="40"/>
      <c r="R889" s="40"/>
    </row>
    <row r="890" spans="10:18" ht="15.75" customHeight="1">
      <c r="J890" s="40"/>
      <c r="K890" s="40"/>
      <c r="L890" s="40"/>
      <c r="M890" s="40"/>
      <c r="N890" s="40"/>
      <c r="O890" s="40"/>
      <c r="P890" s="40"/>
      <c r="Q890" s="40"/>
      <c r="R890" s="40"/>
    </row>
    <row r="891" spans="10:18" ht="15.75" customHeight="1">
      <c r="J891" s="40"/>
      <c r="K891" s="40"/>
      <c r="L891" s="40"/>
      <c r="M891" s="40"/>
      <c r="N891" s="40"/>
      <c r="O891" s="40"/>
      <c r="P891" s="40"/>
      <c r="Q891" s="40"/>
      <c r="R891" s="40"/>
    </row>
    <row r="892" spans="10:18" ht="15.75" customHeight="1">
      <c r="J892" s="40"/>
      <c r="K892" s="40"/>
      <c r="L892" s="40"/>
      <c r="M892" s="40"/>
      <c r="N892" s="40"/>
      <c r="O892" s="40"/>
      <c r="P892" s="40"/>
      <c r="Q892" s="40"/>
      <c r="R892" s="40"/>
    </row>
    <row r="893" spans="10:18" ht="15.75" customHeight="1">
      <c r="J893" s="40"/>
      <c r="K893" s="40"/>
      <c r="L893" s="40"/>
      <c r="M893" s="40"/>
      <c r="N893" s="40"/>
      <c r="O893" s="40"/>
      <c r="P893" s="40"/>
      <c r="Q893" s="40"/>
      <c r="R893" s="40"/>
    </row>
    <row r="894" spans="10:18" ht="15.75" customHeight="1">
      <c r="J894" s="40"/>
      <c r="K894" s="40"/>
      <c r="L894" s="40"/>
      <c r="M894" s="40"/>
      <c r="N894" s="40"/>
      <c r="O894" s="40"/>
      <c r="P894" s="40"/>
      <c r="Q894" s="40"/>
      <c r="R894" s="40"/>
    </row>
    <row r="895" spans="10:18" ht="15.75" customHeight="1">
      <c r="J895" s="40"/>
      <c r="K895" s="40"/>
      <c r="L895" s="40"/>
      <c r="M895" s="40"/>
      <c r="N895" s="40"/>
      <c r="O895" s="40"/>
      <c r="P895" s="40"/>
      <c r="Q895" s="40"/>
      <c r="R895" s="40"/>
    </row>
    <row r="896" spans="10:18" ht="15.75" customHeight="1">
      <c r="J896" s="40"/>
      <c r="K896" s="40"/>
      <c r="L896" s="40"/>
      <c r="M896" s="40"/>
      <c r="N896" s="40"/>
      <c r="O896" s="40"/>
      <c r="P896" s="40"/>
      <c r="Q896" s="40"/>
      <c r="R896" s="40"/>
    </row>
    <row r="897" spans="10:18" ht="15.75" customHeight="1">
      <c r="J897" s="40"/>
      <c r="K897" s="40"/>
      <c r="L897" s="40"/>
      <c r="M897" s="40"/>
      <c r="N897" s="40"/>
      <c r="O897" s="40"/>
      <c r="P897" s="40"/>
      <c r="Q897" s="40"/>
      <c r="R897" s="40"/>
    </row>
    <row r="898" spans="10:18" ht="15.75" customHeight="1">
      <c r="J898" s="40"/>
      <c r="K898" s="40"/>
      <c r="L898" s="40"/>
      <c r="M898" s="40"/>
      <c r="N898" s="40"/>
      <c r="O898" s="40"/>
      <c r="P898" s="40"/>
      <c r="Q898" s="40"/>
      <c r="R898" s="40"/>
    </row>
    <row r="899" spans="10:18" ht="15.75" customHeight="1">
      <c r="J899" s="40"/>
      <c r="K899" s="40"/>
      <c r="L899" s="40"/>
      <c r="M899" s="40"/>
      <c r="N899" s="40"/>
      <c r="O899" s="40"/>
      <c r="P899" s="40"/>
      <c r="Q899" s="40"/>
      <c r="R899" s="40"/>
    </row>
    <row r="900" spans="10:18" ht="15.75" customHeight="1">
      <c r="J900" s="40"/>
      <c r="K900" s="40"/>
      <c r="L900" s="40"/>
      <c r="M900" s="40"/>
      <c r="N900" s="40"/>
      <c r="O900" s="40"/>
      <c r="P900" s="40"/>
      <c r="Q900" s="40"/>
      <c r="R900" s="40"/>
    </row>
    <row r="901" spans="10:18" ht="15.75" customHeight="1">
      <c r="J901" s="40"/>
      <c r="K901" s="40"/>
      <c r="L901" s="40"/>
      <c r="M901" s="40"/>
      <c r="N901" s="40"/>
      <c r="O901" s="40"/>
      <c r="P901" s="40"/>
      <c r="Q901" s="40"/>
      <c r="R901" s="40"/>
    </row>
    <row r="902" spans="10:18" ht="15.75" customHeight="1">
      <c r="J902" s="40"/>
      <c r="K902" s="40"/>
      <c r="L902" s="40"/>
      <c r="M902" s="40"/>
      <c r="N902" s="40"/>
      <c r="O902" s="40"/>
      <c r="P902" s="40"/>
      <c r="Q902" s="40"/>
      <c r="R902" s="40"/>
    </row>
    <row r="903" spans="10:18" ht="15.75" customHeight="1">
      <c r="J903" s="40"/>
      <c r="K903" s="40"/>
      <c r="L903" s="40"/>
      <c r="M903" s="40"/>
      <c r="N903" s="40"/>
      <c r="O903" s="40"/>
      <c r="P903" s="40"/>
      <c r="Q903" s="40"/>
      <c r="R903" s="40"/>
    </row>
    <row r="904" spans="10:18" ht="15.75" customHeight="1">
      <c r="J904" s="40"/>
      <c r="K904" s="40"/>
      <c r="L904" s="40"/>
      <c r="M904" s="40"/>
      <c r="N904" s="40"/>
      <c r="O904" s="40"/>
      <c r="P904" s="40"/>
      <c r="Q904" s="40"/>
      <c r="R904" s="40"/>
    </row>
    <row r="905" spans="10:18" ht="15.75" customHeight="1">
      <c r="J905" s="40"/>
      <c r="K905" s="40"/>
      <c r="L905" s="40"/>
      <c r="M905" s="40"/>
      <c r="N905" s="40"/>
      <c r="O905" s="40"/>
      <c r="P905" s="40"/>
      <c r="Q905" s="40"/>
      <c r="R905" s="40"/>
    </row>
    <row r="906" spans="10:18" ht="15.75" customHeight="1">
      <c r="J906" s="40"/>
      <c r="K906" s="40"/>
      <c r="L906" s="40"/>
      <c r="M906" s="40"/>
      <c r="N906" s="40"/>
      <c r="O906" s="40"/>
      <c r="P906" s="40"/>
      <c r="Q906" s="40"/>
      <c r="R906" s="40"/>
    </row>
    <row r="907" spans="10:18" ht="15.75" customHeight="1">
      <c r="J907" s="40"/>
      <c r="K907" s="40"/>
      <c r="L907" s="40"/>
      <c r="M907" s="40"/>
      <c r="N907" s="40"/>
      <c r="O907" s="40"/>
      <c r="P907" s="40"/>
      <c r="Q907" s="40"/>
      <c r="R907" s="40"/>
    </row>
    <row r="908" spans="10:18" ht="15.75" customHeight="1">
      <c r="J908" s="40"/>
      <c r="K908" s="40"/>
      <c r="L908" s="40"/>
      <c r="M908" s="40"/>
      <c r="N908" s="40"/>
      <c r="O908" s="40"/>
      <c r="P908" s="40"/>
      <c r="Q908" s="40"/>
      <c r="R908" s="40"/>
    </row>
    <row r="909" spans="10:18" ht="15.75" customHeight="1">
      <c r="J909" s="40"/>
      <c r="K909" s="40"/>
      <c r="L909" s="40"/>
      <c r="M909" s="40"/>
      <c r="N909" s="40"/>
      <c r="O909" s="40"/>
      <c r="P909" s="40"/>
      <c r="Q909" s="40"/>
      <c r="R909" s="40"/>
    </row>
    <row r="910" spans="10:18" ht="15.75" customHeight="1">
      <c r="J910" s="40"/>
      <c r="K910" s="40"/>
      <c r="L910" s="40"/>
      <c r="M910" s="40"/>
      <c r="N910" s="40"/>
      <c r="O910" s="40"/>
      <c r="P910" s="40"/>
      <c r="Q910" s="40"/>
      <c r="R910" s="40"/>
    </row>
    <row r="911" spans="10:18" ht="15.75" customHeight="1">
      <c r="J911" s="40"/>
      <c r="K911" s="40"/>
      <c r="L911" s="40"/>
      <c r="M911" s="40"/>
      <c r="N911" s="40"/>
      <c r="O911" s="40"/>
      <c r="P911" s="40"/>
      <c r="Q911" s="40"/>
      <c r="R911" s="40"/>
    </row>
    <row r="912" spans="10:18" ht="15.75" customHeight="1">
      <c r="J912" s="40"/>
      <c r="K912" s="40"/>
      <c r="L912" s="40"/>
      <c r="M912" s="40"/>
      <c r="N912" s="40"/>
      <c r="O912" s="40"/>
      <c r="P912" s="40"/>
      <c r="Q912" s="40"/>
      <c r="R912" s="40"/>
    </row>
    <row r="913" spans="10:18" ht="15.75" customHeight="1">
      <c r="J913" s="40"/>
      <c r="K913" s="40"/>
      <c r="L913" s="40"/>
      <c r="M913" s="40"/>
      <c r="N913" s="40"/>
      <c r="O913" s="40"/>
      <c r="P913" s="40"/>
      <c r="Q913" s="40"/>
      <c r="R913" s="40"/>
    </row>
    <row r="914" spans="10:18" ht="15.75" customHeight="1">
      <c r="J914" s="40"/>
      <c r="K914" s="40"/>
      <c r="L914" s="40"/>
      <c r="M914" s="40"/>
      <c r="N914" s="40"/>
      <c r="O914" s="40"/>
      <c r="P914" s="40"/>
      <c r="Q914" s="40"/>
      <c r="R914" s="40"/>
    </row>
    <row r="915" spans="10:18" ht="15.75" customHeight="1">
      <c r="J915" s="40"/>
      <c r="K915" s="40"/>
      <c r="L915" s="40"/>
      <c r="M915" s="40"/>
      <c r="N915" s="40"/>
      <c r="O915" s="40"/>
      <c r="P915" s="40"/>
      <c r="Q915" s="40"/>
      <c r="R915" s="40"/>
    </row>
    <row r="916" spans="10:18" ht="15.75" customHeight="1">
      <c r="J916" s="40"/>
      <c r="K916" s="40"/>
      <c r="L916" s="40"/>
      <c r="M916" s="40"/>
      <c r="N916" s="40"/>
      <c r="O916" s="40"/>
      <c r="P916" s="40"/>
      <c r="Q916" s="40"/>
      <c r="R916" s="40"/>
    </row>
    <row r="917" spans="10:18" ht="15.75" customHeight="1">
      <c r="J917" s="40"/>
      <c r="K917" s="40"/>
      <c r="L917" s="40"/>
      <c r="M917" s="40"/>
      <c r="N917" s="40"/>
      <c r="O917" s="40"/>
      <c r="P917" s="40"/>
      <c r="Q917" s="40"/>
      <c r="R917" s="40"/>
    </row>
    <row r="918" spans="10:18" ht="15.75" customHeight="1">
      <c r="J918" s="40"/>
      <c r="K918" s="40"/>
      <c r="L918" s="40"/>
      <c r="M918" s="40"/>
      <c r="N918" s="40"/>
      <c r="O918" s="40"/>
      <c r="P918" s="40"/>
      <c r="Q918" s="40"/>
      <c r="R918" s="40"/>
    </row>
    <row r="919" spans="10:18" ht="15.75" customHeight="1">
      <c r="J919" s="40"/>
      <c r="K919" s="40"/>
      <c r="L919" s="40"/>
      <c r="M919" s="40"/>
      <c r="N919" s="40"/>
      <c r="O919" s="40"/>
      <c r="P919" s="40"/>
      <c r="Q919" s="40"/>
      <c r="R919" s="40"/>
    </row>
    <row r="920" spans="10:18" ht="15.75" customHeight="1">
      <c r="J920" s="40"/>
      <c r="K920" s="40"/>
      <c r="L920" s="40"/>
      <c r="M920" s="40"/>
      <c r="N920" s="40"/>
      <c r="O920" s="40"/>
      <c r="P920" s="40"/>
      <c r="Q920" s="40"/>
      <c r="R920" s="40"/>
    </row>
    <row r="921" spans="10:18" ht="15.75" customHeight="1">
      <c r="J921" s="40"/>
      <c r="K921" s="40"/>
      <c r="L921" s="40"/>
      <c r="M921" s="40"/>
      <c r="N921" s="40"/>
      <c r="O921" s="40"/>
      <c r="P921" s="40"/>
      <c r="Q921" s="40"/>
      <c r="R921" s="40"/>
    </row>
    <row r="922" spans="10:18" ht="15.75" customHeight="1">
      <c r="J922" s="40"/>
      <c r="K922" s="40"/>
      <c r="L922" s="40"/>
      <c r="M922" s="40"/>
      <c r="N922" s="40"/>
      <c r="O922" s="40"/>
      <c r="P922" s="40"/>
      <c r="Q922" s="40"/>
      <c r="R922" s="40"/>
    </row>
    <row r="923" spans="10:18" ht="15.75" customHeight="1">
      <c r="J923" s="40"/>
      <c r="K923" s="40"/>
      <c r="L923" s="40"/>
      <c r="M923" s="40"/>
      <c r="N923" s="40"/>
      <c r="O923" s="40"/>
      <c r="P923" s="40"/>
      <c r="Q923" s="40"/>
      <c r="R923" s="40"/>
    </row>
    <row r="924" spans="10:18" ht="15.75" customHeight="1">
      <c r="J924" s="40"/>
      <c r="K924" s="40"/>
      <c r="L924" s="40"/>
      <c r="M924" s="40"/>
      <c r="N924" s="40"/>
      <c r="O924" s="40"/>
      <c r="P924" s="40"/>
      <c r="Q924" s="40"/>
      <c r="R924" s="40"/>
    </row>
    <row r="925" spans="10:18" ht="15.75" customHeight="1">
      <c r="J925" s="40"/>
      <c r="K925" s="40"/>
      <c r="L925" s="40"/>
      <c r="M925" s="40"/>
      <c r="N925" s="40"/>
      <c r="O925" s="40"/>
      <c r="P925" s="40"/>
      <c r="Q925" s="40"/>
      <c r="R925" s="40"/>
    </row>
    <row r="926" spans="10:18" ht="15.75" customHeight="1">
      <c r="J926" s="40"/>
      <c r="K926" s="40"/>
      <c r="L926" s="40"/>
      <c r="M926" s="40"/>
      <c r="N926" s="40"/>
      <c r="O926" s="40"/>
      <c r="P926" s="40"/>
      <c r="Q926" s="40"/>
      <c r="R926" s="40"/>
    </row>
    <row r="927" spans="10:18" ht="15.75" customHeight="1">
      <c r="J927" s="40"/>
      <c r="K927" s="40"/>
      <c r="L927" s="40"/>
      <c r="M927" s="40"/>
      <c r="N927" s="40"/>
      <c r="O927" s="40"/>
      <c r="P927" s="40"/>
      <c r="Q927" s="40"/>
      <c r="R927" s="40"/>
    </row>
    <row r="928" spans="10:18" ht="15.75" customHeight="1">
      <c r="J928" s="40"/>
      <c r="K928" s="40"/>
      <c r="L928" s="40"/>
      <c r="M928" s="40"/>
      <c r="N928" s="40"/>
      <c r="O928" s="40"/>
      <c r="P928" s="40"/>
      <c r="Q928" s="40"/>
      <c r="R928" s="40"/>
    </row>
    <row r="929" spans="10:18" ht="15.75" customHeight="1">
      <c r="J929" s="40"/>
      <c r="K929" s="40"/>
      <c r="L929" s="40"/>
      <c r="M929" s="40"/>
      <c r="N929" s="40"/>
      <c r="O929" s="40"/>
      <c r="P929" s="40"/>
      <c r="Q929" s="40"/>
      <c r="R929" s="40"/>
    </row>
    <row r="930" spans="10:18" ht="15.75" customHeight="1">
      <c r="J930" s="40"/>
      <c r="K930" s="40"/>
      <c r="L930" s="40"/>
      <c r="M930" s="40"/>
      <c r="N930" s="40"/>
      <c r="O930" s="40"/>
      <c r="P930" s="40"/>
      <c r="Q930" s="40"/>
      <c r="R930" s="40"/>
    </row>
    <row r="931" spans="10:18" ht="15.75" customHeight="1">
      <c r="J931" s="40"/>
      <c r="K931" s="40"/>
      <c r="L931" s="40"/>
      <c r="M931" s="40"/>
      <c r="N931" s="40"/>
      <c r="O931" s="40"/>
      <c r="P931" s="40"/>
      <c r="Q931" s="40"/>
      <c r="R931" s="40"/>
    </row>
    <row r="932" spans="10:18" ht="15.75" customHeight="1">
      <c r="J932" s="40"/>
      <c r="K932" s="40"/>
      <c r="L932" s="40"/>
      <c r="M932" s="40"/>
      <c r="N932" s="40"/>
      <c r="O932" s="40"/>
      <c r="P932" s="40"/>
      <c r="Q932" s="40"/>
      <c r="R932" s="40"/>
    </row>
    <row r="933" spans="10:18" ht="15.75" customHeight="1">
      <c r="J933" s="40"/>
      <c r="K933" s="40"/>
      <c r="L933" s="40"/>
      <c r="M933" s="40"/>
      <c r="N933" s="40"/>
      <c r="O933" s="40"/>
      <c r="P933" s="40"/>
      <c r="Q933" s="40"/>
      <c r="R933" s="40"/>
    </row>
    <row r="934" spans="10:18" ht="15.75" customHeight="1">
      <c r="J934" s="40"/>
      <c r="K934" s="40"/>
      <c r="L934" s="40"/>
      <c r="M934" s="40"/>
      <c r="N934" s="40"/>
      <c r="O934" s="40"/>
      <c r="P934" s="40"/>
      <c r="Q934" s="40"/>
      <c r="R934" s="40"/>
    </row>
    <row r="935" spans="10:18" ht="15.75" customHeight="1">
      <c r="J935" s="40"/>
      <c r="K935" s="40"/>
      <c r="L935" s="40"/>
      <c r="M935" s="40"/>
      <c r="N935" s="40"/>
      <c r="O935" s="40"/>
      <c r="P935" s="40"/>
      <c r="Q935" s="40"/>
      <c r="R935" s="40"/>
    </row>
    <row r="936" spans="10:18" ht="15.75" customHeight="1">
      <c r="J936" s="40"/>
      <c r="K936" s="40"/>
      <c r="L936" s="40"/>
      <c r="M936" s="40"/>
      <c r="N936" s="40"/>
      <c r="O936" s="40"/>
      <c r="P936" s="40"/>
      <c r="Q936" s="40"/>
      <c r="R936" s="40"/>
    </row>
    <row r="937" spans="10:18" ht="15.75" customHeight="1">
      <c r="J937" s="40"/>
      <c r="K937" s="40"/>
      <c r="L937" s="40"/>
      <c r="M937" s="40"/>
      <c r="N937" s="40"/>
      <c r="O937" s="40"/>
      <c r="P937" s="40"/>
      <c r="Q937" s="40"/>
      <c r="R937" s="40"/>
    </row>
    <row r="938" spans="10:18" ht="15.75" customHeight="1">
      <c r="J938" s="40"/>
      <c r="K938" s="40"/>
      <c r="L938" s="40"/>
      <c r="M938" s="40"/>
      <c r="N938" s="40"/>
      <c r="O938" s="40"/>
      <c r="P938" s="40"/>
      <c r="Q938" s="40"/>
      <c r="R938" s="40"/>
    </row>
    <row r="939" spans="10:18" ht="15.75" customHeight="1">
      <c r="J939" s="40"/>
      <c r="K939" s="40"/>
      <c r="L939" s="40"/>
      <c r="M939" s="40"/>
      <c r="N939" s="40"/>
      <c r="O939" s="40"/>
      <c r="P939" s="40"/>
      <c r="Q939" s="40"/>
      <c r="R939" s="40"/>
    </row>
    <row r="940" spans="10:18" ht="15.75" customHeight="1">
      <c r="J940" s="40"/>
      <c r="K940" s="40"/>
      <c r="L940" s="40"/>
      <c r="M940" s="40"/>
      <c r="N940" s="40"/>
      <c r="O940" s="40"/>
      <c r="P940" s="40"/>
      <c r="Q940" s="40"/>
      <c r="R940" s="40"/>
    </row>
    <row r="941" spans="10:18" ht="15.75" customHeight="1">
      <c r="J941" s="40"/>
      <c r="K941" s="40"/>
      <c r="L941" s="40"/>
      <c r="M941" s="40"/>
      <c r="N941" s="40"/>
      <c r="O941" s="40"/>
      <c r="P941" s="40"/>
      <c r="Q941" s="40"/>
      <c r="R941" s="40"/>
    </row>
    <row r="942" spans="10:18" ht="15.75" customHeight="1">
      <c r="J942" s="40"/>
      <c r="K942" s="40"/>
      <c r="L942" s="40"/>
      <c r="M942" s="40"/>
      <c r="N942" s="40"/>
      <c r="O942" s="40"/>
      <c r="P942" s="40"/>
      <c r="Q942" s="40"/>
      <c r="R942" s="40"/>
    </row>
    <row r="943" spans="10:18" ht="15.75" customHeight="1">
      <c r="J943" s="40"/>
      <c r="K943" s="40"/>
      <c r="L943" s="40"/>
      <c r="M943" s="40"/>
      <c r="N943" s="40"/>
      <c r="O943" s="40"/>
      <c r="P943" s="40"/>
      <c r="Q943" s="40"/>
      <c r="R943" s="40"/>
    </row>
    <row r="944" spans="10:18" ht="15.75" customHeight="1">
      <c r="J944" s="40"/>
      <c r="K944" s="40"/>
      <c r="L944" s="40"/>
      <c r="M944" s="40"/>
      <c r="N944" s="40"/>
      <c r="O944" s="40"/>
      <c r="P944" s="40"/>
      <c r="Q944" s="40"/>
      <c r="R944" s="40"/>
    </row>
    <row r="945" spans="10:18" ht="15.75" customHeight="1">
      <c r="J945" s="40"/>
      <c r="K945" s="40"/>
      <c r="L945" s="40"/>
      <c r="M945" s="40"/>
      <c r="N945" s="40"/>
      <c r="O945" s="40"/>
      <c r="P945" s="40"/>
      <c r="Q945" s="40"/>
      <c r="R945" s="40"/>
    </row>
    <row r="946" spans="10:18" ht="15.75" customHeight="1">
      <c r="J946" s="40"/>
      <c r="K946" s="40"/>
      <c r="L946" s="40"/>
      <c r="M946" s="40"/>
      <c r="N946" s="40"/>
      <c r="O946" s="40"/>
      <c r="P946" s="40"/>
      <c r="Q946" s="40"/>
      <c r="R946" s="40"/>
    </row>
    <row r="947" spans="10:18" ht="15.75" customHeight="1">
      <c r="J947" s="40"/>
      <c r="K947" s="40"/>
      <c r="L947" s="40"/>
      <c r="M947" s="40"/>
      <c r="N947" s="40"/>
      <c r="O947" s="40"/>
      <c r="P947" s="40"/>
      <c r="Q947" s="40"/>
      <c r="R947" s="40"/>
    </row>
    <row r="948" spans="10:18" ht="15.75" customHeight="1">
      <c r="J948" s="40"/>
      <c r="K948" s="40"/>
      <c r="L948" s="40"/>
      <c r="M948" s="40"/>
      <c r="N948" s="40"/>
      <c r="O948" s="40"/>
      <c r="P948" s="40"/>
      <c r="Q948" s="40"/>
      <c r="R948" s="40"/>
    </row>
    <row r="949" spans="10:18" ht="15.75" customHeight="1">
      <c r="J949" s="40"/>
      <c r="K949" s="40"/>
      <c r="L949" s="40"/>
      <c r="M949" s="40"/>
      <c r="N949" s="40"/>
      <c r="O949" s="40"/>
      <c r="P949" s="40"/>
      <c r="Q949" s="40"/>
      <c r="R949" s="40"/>
    </row>
    <row r="950" spans="10:18" ht="15.75" customHeight="1">
      <c r="J950" s="40"/>
      <c r="K950" s="40"/>
      <c r="L950" s="40"/>
      <c r="M950" s="40"/>
      <c r="N950" s="40"/>
      <c r="O950" s="40"/>
      <c r="P950" s="40"/>
      <c r="Q950" s="40"/>
      <c r="R950" s="40"/>
    </row>
    <row r="951" spans="10:18" ht="15.75" customHeight="1">
      <c r="J951" s="40"/>
      <c r="K951" s="40"/>
      <c r="L951" s="40"/>
      <c r="M951" s="40"/>
      <c r="N951" s="40"/>
      <c r="O951" s="40"/>
      <c r="P951" s="40"/>
      <c r="Q951" s="40"/>
      <c r="R951" s="40"/>
    </row>
    <row r="952" spans="10:18" ht="15.75" customHeight="1">
      <c r="J952" s="40"/>
      <c r="K952" s="40"/>
      <c r="L952" s="40"/>
      <c r="M952" s="40"/>
      <c r="N952" s="40"/>
      <c r="O952" s="40"/>
      <c r="P952" s="40"/>
      <c r="Q952" s="40"/>
      <c r="R952" s="40"/>
    </row>
    <row r="953" spans="10:18" ht="15.75" customHeight="1">
      <c r="J953" s="40"/>
      <c r="K953" s="40"/>
      <c r="L953" s="40"/>
      <c r="M953" s="40"/>
      <c r="N953" s="40"/>
      <c r="O953" s="40"/>
      <c r="P953" s="40"/>
      <c r="Q953" s="40"/>
      <c r="R953" s="40"/>
    </row>
    <row r="954" spans="10:18" ht="15.75" customHeight="1">
      <c r="J954" s="40"/>
      <c r="K954" s="40"/>
      <c r="L954" s="40"/>
      <c r="M954" s="40"/>
      <c r="N954" s="40"/>
      <c r="O954" s="40"/>
      <c r="P954" s="40"/>
      <c r="Q954" s="40"/>
      <c r="R954" s="40"/>
    </row>
    <row r="955" spans="10:18" ht="15.75" customHeight="1">
      <c r="J955" s="40"/>
      <c r="K955" s="40"/>
      <c r="L955" s="40"/>
      <c r="M955" s="40"/>
      <c r="N955" s="40"/>
      <c r="O955" s="40"/>
      <c r="P955" s="40"/>
      <c r="Q955" s="40"/>
      <c r="R955" s="40"/>
    </row>
    <row r="956" spans="10:18" ht="15.75" customHeight="1">
      <c r="J956" s="40"/>
      <c r="K956" s="40"/>
      <c r="L956" s="40"/>
      <c r="M956" s="40"/>
      <c r="N956" s="40"/>
      <c r="O956" s="40"/>
      <c r="P956" s="40"/>
      <c r="Q956" s="40"/>
      <c r="R956" s="40"/>
    </row>
    <row r="957" spans="10:18" ht="15.75" customHeight="1">
      <c r="J957" s="40"/>
      <c r="K957" s="40"/>
      <c r="L957" s="40"/>
      <c r="M957" s="40"/>
      <c r="N957" s="40"/>
      <c r="O957" s="40"/>
      <c r="P957" s="40"/>
      <c r="Q957" s="40"/>
      <c r="R957" s="40"/>
    </row>
    <row r="958" spans="10:18" ht="15.75" customHeight="1">
      <c r="J958" s="40"/>
      <c r="K958" s="40"/>
      <c r="L958" s="40"/>
      <c r="M958" s="40"/>
      <c r="N958" s="40"/>
      <c r="O958" s="40"/>
      <c r="P958" s="40"/>
      <c r="Q958" s="40"/>
      <c r="R958" s="40"/>
    </row>
    <row r="959" spans="10:18" ht="15.75" customHeight="1">
      <c r="J959" s="40"/>
      <c r="K959" s="40"/>
      <c r="L959" s="40"/>
      <c r="M959" s="40"/>
      <c r="N959" s="40"/>
      <c r="O959" s="40"/>
      <c r="P959" s="40"/>
      <c r="Q959" s="40"/>
      <c r="R959" s="40"/>
    </row>
    <row r="960" spans="10:18" ht="15.75" customHeight="1">
      <c r="J960" s="40"/>
      <c r="K960" s="40"/>
      <c r="L960" s="40"/>
      <c r="M960" s="40"/>
      <c r="N960" s="40"/>
      <c r="O960" s="40"/>
      <c r="P960" s="40"/>
      <c r="Q960" s="40"/>
      <c r="R960" s="40"/>
    </row>
    <row r="961" spans="10:18" ht="15.75" customHeight="1">
      <c r="J961" s="40"/>
      <c r="K961" s="40"/>
      <c r="L961" s="40"/>
      <c r="M961" s="40"/>
      <c r="N961" s="40"/>
      <c r="O961" s="40"/>
      <c r="P961" s="40"/>
      <c r="Q961" s="40"/>
      <c r="R961" s="40"/>
    </row>
    <row r="962" spans="10:18" ht="15.75" customHeight="1">
      <c r="J962" s="40"/>
      <c r="K962" s="40"/>
      <c r="L962" s="40"/>
      <c r="M962" s="40"/>
      <c r="N962" s="40"/>
      <c r="O962" s="40"/>
      <c r="P962" s="40"/>
      <c r="Q962" s="40"/>
      <c r="R962" s="40"/>
    </row>
    <row r="963" spans="10:18" ht="15.75" customHeight="1">
      <c r="J963" s="40"/>
      <c r="K963" s="40"/>
      <c r="L963" s="40"/>
      <c r="M963" s="40"/>
      <c r="N963" s="40"/>
      <c r="O963" s="40"/>
      <c r="P963" s="40"/>
      <c r="Q963" s="40"/>
      <c r="R963" s="40"/>
    </row>
    <row r="964" spans="10:18" ht="15.75" customHeight="1">
      <c r="J964" s="40"/>
      <c r="K964" s="40"/>
      <c r="L964" s="40"/>
      <c r="M964" s="40"/>
      <c r="N964" s="40"/>
      <c r="O964" s="40"/>
      <c r="P964" s="40"/>
      <c r="Q964" s="40"/>
      <c r="R964" s="40"/>
    </row>
    <row r="965" spans="10:18" ht="15.75" customHeight="1">
      <c r="J965" s="40"/>
      <c r="K965" s="40"/>
      <c r="L965" s="40"/>
      <c r="M965" s="40"/>
      <c r="N965" s="40"/>
      <c r="O965" s="40"/>
      <c r="P965" s="40"/>
      <c r="Q965" s="40"/>
      <c r="R965" s="40"/>
    </row>
    <row r="966" spans="10:18" ht="15.75" customHeight="1">
      <c r="J966" s="40"/>
      <c r="K966" s="40"/>
      <c r="L966" s="40"/>
      <c r="M966" s="40"/>
      <c r="N966" s="40"/>
      <c r="O966" s="40"/>
      <c r="P966" s="40"/>
      <c r="Q966" s="40"/>
      <c r="R966" s="40"/>
    </row>
    <row r="967" spans="10:18" ht="15.75" customHeight="1">
      <c r="J967" s="40"/>
      <c r="K967" s="40"/>
      <c r="L967" s="40"/>
      <c r="M967" s="40"/>
      <c r="N967" s="40"/>
      <c r="O967" s="40"/>
      <c r="P967" s="40"/>
      <c r="Q967" s="40"/>
      <c r="R967" s="40"/>
    </row>
    <row r="968" spans="10:18" ht="15.75" customHeight="1">
      <c r="J968" s="40"/>
      <c r="K968" s="40"/>
      <c r="L968" s="40"/>
      <c r="M968" s="40"/>
      <c r="N968" s="40"/>
      <c r="O968" s="40"/>
      <c r="P968" s="40"/>
      <c r="Q968" s="40"/>
      <c r="R968" s="40"/>
    </row>
    <row r="969" spans="10:18" ht="15.75" customHeight="1">
      <c r="J969" s="40"/>
      <c r="K969" s="40"/>
      <c r="L969" s="40"/>
      <c r="M969" s="40"/>
      <c r="N969" s="40"/>
      <c r="O969" s="40"/>
      <c r="P969" s="40"/>
      <c r="Q969" s="40"/>
      <c r="R969" s="40"/>
    </row>
    <row r="970" spans="10:18" ht="15.75" customHeight="1">
      <c r="J970" s="40"/>
      <c r="K970" s="40"/>
      <c r="L970" s="40"/>
      <c r="M970" s="40"/>
      <c r="N970" s="40"/>
      <c r="O970" s="40"/>
      <c r="P970" s="40"/>
      <c r="Q970" s="40"/>
      <c r="R970" s="40"/>
    </row>
    <row r="971" spans="10:18" ht="15.75" customHeight="1">
      <c r="J971" s="40"/>
      <c r="K971" s="40"/>
      <c r="L971" s="40"/>
      <c r="M971" s="40"/>
      <c r="N971" s="40"/>
      <c r="O971" s="40"/>
      <c r="P971" s="40"/>
      <c r="Q971" s="40"/>
      <c r="R971" s="40"/>
    </row>
    <row r="972" spans="10:18" ht="15.75" customHeight="1">
      <c r="J972" s="40"/>
      <c r="K972" s="40"/>
      <c r="L972" s="40"/>
      <c r="M972" s="40"/>
      <c r="N972" s="40"/>
      <c r="O972" s="40"/>
      <c r="P972" s="40"/>
      <c r="Q972" s="40"/>
      <c r="R972" s="40"/>
    </row>
    <row r="973" spans="10:18" ht="15.75" customHeight="1">
      <c r="J973" s="40"/>
      <c r="K973" s="40"/>
      <c r="L973" s="40"/>
      <c r="M973" s="40"/>
      <c r="N973" s="40"/>
      <c r="O973" s="40"/>
      <c r="P973" s="40"/>
      <c r="Q973" s="40"/>
      <c r="R973" s="40"/>
    </row>
    <row r="974" spans="10:18" ht="15.75" customHeight="1">
      <c r="J974" s="40"/>
      <c r="K974" s="40"/>
      <c r="L974" s="40"/>
      <c r="M974" s="40"/>
      <c r="N974" s="40"/>
      <c r="O974" s="40"/>
      <c r="P974" s="40"/>
      <c r="Q974" s="40"/>
      <c r="R974" s="40"/>
    </row>
    <row r="975" spans="10:18" ht="15.75" customHeight="1">
      <c r="J975" s="40"/>
      <c r="K975" s="40"/>
      <c r="L975" s="40"/>
      <c r="M975" s="40"/>
      <c r="N975" s="40"/>
      <c r="O975" s="40"/>
      <c r="P975" s="40"/>
      <c r="Q975" s="40"/>
      <c r="R975" s="40"/>
    </row>
    <row r="976" spans="10:18" ht="15.75" customHeight="1">
      <c r="J976" s="40"/>
      <c r="K976" s="40"/>
      <c r="L976" s="40"/>
      <c r="M976" s="40"/>
      <c r="N976" s="40"/>
      <c r="O976" s="40"/>
      <c r="P976" s="40"/>
      <c r="Q976" s="40"/>
      <c r="R976" s="40"/>
    </row>
    <row r="977" spans="10:18" ht="15.75" customHeight="1">
      <c r="J977" s="40"/>
      <c r="K977" s="40"/>
      <c r="L977" s="40"/>
      <c r="M977" s="40"/>
      <c r="N977" s="40"/>
      <c r="O977" s="40"/>
      <c r="P977" s="40"/>
      <c r="Q977" s="40"/>
      <c r="R977" s="40"/>
    </row>
    <row r="978" spans="10:18" ht="15.75" customHeight="1">
      <c r="J978" s="40"/>
      <c r="K978" s="40"/>
      <c r="L978" s="40"/>
      <c r="M978" s="40"/>
      <c r="N978" s="40"/>
      <c r="O978" s="40"/>
      <c r="P978" s="40"/>
      <c r="Q978" s="40"/>
      <c r="R978" s="40"/>
    </row>
    <row r="979" spans="10:18" ht="15.75" customHeight="1">
      <c r="J979" s="40"/>
      <c r="K979" s="40"/>
      <c r="L979" s="40"/>
      <c r="M979" s="40"/>
      <c r="N979" s="40"/>
      <c r="O979" s="40"/>
      <c r="P979" s="40"/>
      <c r="Q979" s="40"/>
      <c r="R979" s="40"/>
    </row>
    <row r="980" spans="10:18" ht="15.75" customHeight="1">
      <c r="J980" s="40"/>
      <c r="K980" s="40"/>
      <c r="L980" s="40"/>
      <c r="M980" s="40"/>
      <c r="N980" s="40"/>
      <c r="O980" s="40"/>
      <c r="P980" s="40"/>
      <c r="Q980" s="40"/>
      <c r="R980" s="40"/>
    </row>
    <row r="981" spans="10:18" ht="15.75" customHeight="1">
      <c r="J981" s="40"/>
      <c r="K981" s="40"/>
      <c r="L981" s="40"/>
      <c r="M981" s="40"/>
      <c r="N981" s="40"/>
      <c r="O981" s="40"/>
      <c r="P981" s="40"/>
      <c r="Q981" s="40"/>
      <c r="R981" s="40"/>
    </row>
    <row r="982" spans="10:18" ht="15.75" customHeight="1">
      <c r="J982" s="40"/>
      <c r="K982" s="40"/>
      <c r="L982" s="40"/>
      <c r="M982" s="40"/>
      <c r="N982" s="40"/>
      <c r="O982" s="40"/>
      <c r="P982" s="40"/>
      <c r="Q982" s="40"/>
      <c r="R982" s="40"/>
    </row>
    <row r="983" spans="10:18" ht="15.75" customHeight="1">
      <c r="J983" s="40"/>
      <c r="K983" s="40"/>
      <c r="L983" s="40"/>
      <c r="M983" s="40"/>
      <c r="N983" s="40"/>
      <c r="O983" s="40"/>
      <c r="P983" s="40"/>
      <c r="Q983" s="40"/>
      <c r="R983" s="40"/>
    </row>
    <row r="984" spans="10:18" ht="15.75" customHeight="1">
      <c r="J984" s="40"/>
      <c r="K984" s="40"/>
      <c r="L984" s="40"/>
      <c r="M984" s="40"/>
      <c r="N984" s="40"/>
      <c r="O984" s="40"/>
      <c r="P984" s="40"/>
      <c r="Q984" s="40"/>
      <c r="R984" s="40"/>
    </row>
    <row r="985" spans="10:18" ht="15.75" customHeight="1">
      <c r="J985" s="40"/>
      <c r="K985" s="40"/>
      <c r="L985" s="40"/>
      <c r="M985" s="40"/>
      <c r="N985" s="40"/>
      <c r="O985" s="40"/>
      <c r="P985" s="40"/>
      <c r="Q985" s="40"/>
      <c r="R985" s="40"/>
    </row>
    <row r="986" spans="10:18" ht="15.75" customHeight="1">
      <c r="J986" s="40"/>
      <c r="K986" s="40"/>
      <c r="L986" s="40"/>
      <c r="M986" s="40"/>
      <c r="N986" s="40"/>
      <c r="O986" s="40"/>
      <c r="P986" s="40"/>
      <c r="Q986" s="40"/>
      <c r="R986" s="40"/>
    </row>
    <row r="987" spans="10:18" ht="15.75" customHeight="1">
      <c r="J987" s="40"/>
      <c r="K987" s="40"/>
      <c r="L987" s="40"/>
      <c r="M987" s="40"/>
      <c r="N987" s="40"/>
      <c r="O987" s="40"/>
      <c r="P987" s="40"/>
      <c r="Q987" s="40"/>
      <c r="R987" s="40"/>
    </row>
    <row r="988" spans="10:18" ht="15.75" customHeight="1">
      <c r="J988" s="40"/>
      <c r="K988" s="40"/>
      <c r="L988" s="40"/>
      <c r="M988" s="40"/>
      <c r="N988" s="40"/>
      <c r="O988" s="40"/>
      <c r="P988" s="40"/>
      <c r="Q988" s="40"/>
      <c r="R988" s="40"/>
    </row>
    <row r="989" spans="10:18" ht="15.75" customHeight="1">
      <c r="J989" s="40"/>
      <c r="K989" s="40"/>
      <c r="L989" s="40"/>
      <c r="M989" s="40"/>
      <c r="N989" s="40"/>
      <c r="O989" s="40"/>
      <c r="P989" s="40"/>
      <c r="Q989" s="40"/>
      <c r="R989" s="40"/>
    </row>
    <row r="990" spans="10:18" ht="15.75" customHeight="1">
      <c r="J990" s="40"/>
      <c r="K990" s="40"/>
      <c r="L990" s="40"/>
      <c r="M990" s="40"/>
      <c r="N990" s="40"/>
      <c r="O990" s="40"/>
      <c r="P990" s="40"/>
      <c r="Q990" s="40"/>
      <c r="R990" s="40"/>
    </row>
    <row r="991" spans="10:18" ht="15.75" customHeight="1">
      <c r="J991" s="40"/>
      <c r="K991" s="40"/>
      <c r="L991" s="40"/>
      <c r="M991" s="40"/>
      <c r="N991" s="40"/>
      <c r="O991" s="40"/>
      <c r="P991" s="40"/>
      <c r="Q991" s="40"/>
      <c r="R991" s="40"/>
    </row>
    <row r="992" spans="10:18" ht="15.75" customHeight="1">
      <c r="J992" s="40"/>
      <c r="K992" s="40"/>
      <c r="L992" s="40"/>
      <c r="M992" s="40"/>
      <c r="N992" s="40"/>
      <c r="O992" s="40"/>
      <c r="P992" s="40"/>
      <c r="Q992" s="40"/>
      <c r="R992" s="40"/>
    </row>
    <row r="993" spans="10:18" ht="15.75" customHeight="1">
      <c r="J993" s="40"/>
      <c r="K993" s="40"/>
      <c r="L993" s="40"/>
      <c r="M993" s="40"/>
      <c r="N993" s="40"/>
      <c r="O993" s="40"/>
      <c r="P993" s="40"/>
      <c r="Q993" s="40"/>
      <c r="R993" s="40"/>
    </row>
    <row r="994" spans="10:18" ht="15.75" customHeight="1">
      <c r="J994" s="40"/>
      <c r="K994" s="40"/>
      <c r="L994" s="40"/>
      <c r="M994" s="40"/>
      <c r="N994" s="40"/>
      <c r="O994" s="40"/>
      <c r="P994" s="40"/>
      <c r="Q994" s="40"/>
      <c r="R994" s="40"/>
    </row>
    <row r="995" spans="10:18" ht="15.75" customHeight="1">
      <c r="J995" s="40"/>
      <c r="K995" s="40"/>
      <c r="L995" s="40"/>
      <c r="M995" s="40"/>
      <c r="N995" s="40"/>
      <c r="O995" s="40"/>
      <c r="P995" s="40"/>
      <c r="Q995" s="40"/>
      <c r="R995" s="40"/>
    </row>
    <row r="996" spans="10:18" ht="15.75" customHeight="1">
      <c r="J996" s="40"/>
      <c r="K996" s="40"/>
      <c r="L996" s="40"/>
      <c r="M996" s="40"/>
      <c r="N996" s="40"/>
      <c r="O996" s="40"/>
      <c r="P996" s="40"/>
      <c r="Q996" s="40"/>
      <c r="R996" s="40"/>
    </row>
    <row r="997" spans="10:18" ht="15.75" customHeight="1">
      <c r="J997" s="40"/>
      <c r="K997" s="40"/>
      <c r="L997" s="40"/>
      <c r="M997" s="40"/>
      <c r="N997" s="40"/>
      <c r="O997" s="40"/>
      <c r="P997" s="40"/>
      <c r="Q997" s="40"/>
      <c r="R997" s="40"/>
    </row>
    <row r="998" spans="10:18" ht="15.75" customHeight="1">
      <c r="J998" s="40"/>
      <c r="K998" s="40"/>
      <c r="L998" s="40"/>
      <c r="M998" s="40"/>
      <c r="N998" s="40"/>
      <c r="O998" s="40"/>
      <c r="P998" s="40"/>
      <c r="Q998" s="40"/>
      <c r="R998" s="40"/>
    </row>
    <row r="999" spans="10:18" ht="15.75" customHeight="1">
      <c r="J999" s="40"/>
      <c r="K999" s="40"/>
      <c r="L999" s="40"/>
      <c r="M999" s="40"/>
      <c r="N999" s="40"/>
      <c r="O999" s="40"/>
      <c r="P999" s="40"/>
      <c r="Q999" s="40"/>
      <c r="R999" s="40"/>
    </row>
    <row r="1000" spans="10:18" ht="15.75" customHeight="1">
      <c r="J1000" s="40"/>
      <c r="K1000" s="40"/>
      <c r="L1000" s="40"/>
      <c r="M1000" s="40"/>
      <c r="N1000" s="40"/>
      <c r="O1000" s="40"/>
      <c r="P1000" s="40"/>
      <c r="Q1000" s="40"/>
      <c r="R1000" s="40"/>
    </row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Z1000"/>
  <sheetViews>
    <sheetView showGridLines="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2.625" defaultRowHeight="15" customHeight="1"/>
  <cols>
    <col min="1" max="3" width="1.625" customWidth="1"/>
    <col min="4" max="4" width="35.125" customWidth="1"/>
    <col min="5" max="5" width="8.625" customWidth="1"/>
    <col min="6" max="6" width="21" customWidth="1"/>
    <col min="7" max="7" width="8.625" customWidth="1"/>
    <col min="8" max="9" width="2.125" customWidth="1"/>
    <col min="10" max="10" width="11.875" customWidth="1"/>
    <col min="11" max="11" width="9.75" customWidth="1"/>
    <col min="12" max="13" width="11.75" customWidth="1"/>
    <col min="14" max="14" width="14.125" customWidth="1"/>
    <col min="15" max="18" width="12.75" customWidth="1"/>
    <col min="19" max="20" width="9.75" customWidth="1"/>
    <col min="21" max="26" width="8.625" customWidth="1"/>
  </cols>
  <sheetData>
    <row r="1" spans="1:26" ht="7.5" customHeight="1"/>
    <row r="2" spans="1:26" ht="23.25">
      <c r="A2" s="1"/>
      <c r="B2" s="2" t="str">
        <f>COY</f>
        <v>Fidson Healthcare Plc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6" ht="18">
      <c r="A3" s="1"/>
      <c r="B3" s="1"/>
      <c r="C3" s="3" t="s">
        <v>300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6">
      <c r="D5" s="42" t="str">
        <f>"Balance sheet check: " &amp;BSCheck</f>
        <v>Balance sheet check: OK</v>
      </c>
      <c r="I5" s="43" t="s">
        <v>56</v>
      </c>
      <c r="J5" s="9"/>
      <c r="K5" s="9">
        <f t="shared" ref="K5:R5" si="0">J6+1</f>
        <v>44562</v>
      </c>
      <c r="L5" s="9">
        <f t="shared" si="0"/>
        <v>44927</v>
      </c>
      <c r="M5" s="9">
        <f t="shared" si="0"/>
        <v>45292</v>
      </c>
      <c r="N5" s="9">
        <f t="shared" si="0"/>
        <v>45658</v>
      </c>
      <c r="O5" s="9">
        <f t="shared" si="0"/>
        <v>46023</v>
      </c>
      <c r="P5" s="9">
        <f t="shared" si="0"/>
        <v>46388</v>
      </c>
      <c r="Q5" s="9">
        <f t="shared" si="0"/>
        <v>46753</v>
      </c>
      <c r="R5" s="9">
        <f t="shared" si="0"/>
        <v>47119</v>
      </c>
      <c r="S5" s="9"/>
      <c r="T5" s="9"/>
    </row>
    <row r="6" spans="1:26">
      <c r="D6" s="42" t="str">
        <f t="array" ref="D6">livescenario</f>
        <v>Live Scenario: Base case</v>
      </c>
      <c r="I6" s="43" t="s">
        <v>57</v>
      </c>
      <c r="J6" s="89">
        <f>Guide!E14-1</f>
        <v>44561</v>
      </c>
      <c r="K6" s="9">
        <f t="shared" ref="K6:R6" si="1">EOMONTH(K5,11)</f>
        <v>44926</v>
      </c>
      <c r="L6" s="9">
        <f t="shared" si="1"/>
        <v>45291</v>
      </c>
      <c r="M6" s="9">
        <f t="shared" si="1"/>
        <v>45657</v>
      </c>
      <c r="N6" s="9">
        <f t="shared" si="1"/>
        <v>46022</v>
      </c>
      <c r="O6" s="9">
        <f t="shared" si="1"/>
        <v>46387</v>
      </c>
      <c r="P6" s="9">
        <f t="shared" si="1"/>
        <v>46752</v>
      </c>
      <c r="Q6" s="9">
        <f t="shared" si="1"/>
        <v>47118</v>
      </c>
      <c r="R6" s="9">
        <f t="shared" si="1"/>
        <v>47483</v>
      </c>
      <c r="S6" s="9"/>
      <c r="T6" s="9"/>
    </row>
    <row r="7" spans="1:26" ht="6" customHeight="1"/>
    <row r="8" spans="1:26" ht="14.25">
      <c r="A8" s="18"/>
      <c r="B8" s="18"/>
      <c r="C8" s="18"/>
      <c r="D8" s="18" t="s">
        <v>58</v>
      </c>
      <c r="E8" s="18" t="s">
        <v>59</v>
      </c>
      <c r="F8" s="18" t="s">
        <v>46</v>
      </c>
      <c r="G8" s="18" t="s">
        <v>301</v>
      </c>
      <c r="H8" s="18"/>
      <c r="I8" s="18"/>
      <c r="J8" s="18"/>
      <c r="K8" s="18" t="s">
        <v>62</v>
      </c>
      <c r="L8" s="18" t="s">
        <v>62</v>
      </c>
      <c r="M8" s="18" t="s">
        <v>62</v>
      </c>
      <c r="N8" s="18" t="s">
        <v>62</v>
      </c>
      <c r="O8" s="18" t="s">
        <v>63</v>
      </c>
      <c r="P8" s="18" t="s">
        <v>63</v>
      </c>
      <c r="Q8" s="18" t="s">
        <v>63</v>
      </c>
      <c r="R8" s="18" t="s">
        <v>63</v>
      </c>
      <c r="S8" s="18"/>
      <c r="T8" s="18"/>
      <c r="U8" s="18"/>
      <c r="V8" s="18"/>
      <c r="W8" s="18"/>
      <c r="X8" s="18"/>
      <c r="Y8" s="18"/>
      <c r="Z8" s="18"/>
    </row>
    <row r="10" spans="1:26" ht="20.25">
      <c r="B10" s="47" t="s">
        <v>302</v>
      </c>
      <c r="C10" s="47"/>
      <c r="D10" s="47"/>
      <c r="E10" s="47"/>
      <c r="F10" s="47"/>
      <c r="G10" s="47"/>
      <c r="H10" s="47"/>
      <c r="I10" s="47"/>
      <c r="J10" s="48"/>
      <c r="K10" s="48"/>
      <c r="L10" s="48"/>
      <c r="M10" s="48"/>
      <c r="N10" s="48"/>
      <c r="O10" s="48"/>
      <c r="P10" s="48"/>
      <c r="Q10" s="48"/>
      <c r="R10" s="48"/>
    </row>
    <row r="11" spans="1:26">
      <c r="C11" s="65" t="s">
        <v>303</v>
      </c>
      <c r="D11" s="65"/>
      <c r="E11" s="65"/>
      <c r="F11" s="65"/>
      <c r="G11" s="65"/>
      <c r="H11" s="65"/>
      <c r="I11" s="65"/>
      <c r="J11" s="67"/>
      <c r="K11" s="67"/>
      <c r="L11" s="67"/>
      <c r="M11" s="67"/>
      <c r="N11" s="67"/>
      <c r="O11" s="67"/>
      <c r="P11" s="67"/>
      <c r="Q11" s="67"/>
      <c r="R11" s="67"/>
    </row>
    <row r="12" spans="1:26" ht="15" customHeight="1">
      <c r="D12" s="25" t="s">
        <v>304</v>
      </c>
      <c r="E12" s="25" t="s">
        <v>171</v>
      </c>
      <c r="F12" s="77"/>
      <c r="G12" s="68">
        <f t="shared" ref="G12:G15" si="2">AVERAGE(O12:R12)</f>
        <v>0.34139490853243082</v>
      </c>
      <c r="L12" s="68">
        <f>('P or L'!L13/'P or L'!K13)-1</f>
        <v>0.30556104013317076</v>
      </c>
      <c r="M12" s="68">
        <f>('P or L'!M13/'P or L'!L13)-1</f>
        <v>0.58696396257789352</v>
      </c>
      <c r="N12" s="68">
        <f>('P or L'!N13/'P or L'!M13)-1</f>
        <v>0.41421389967810529</v>
      </c>
      <c r="O12" s="68">
        <f>('P or L'!O13/'P or L'!N13)-1</f>
        <v>0.43557963412972311</v>
      </c>
      <c r="P12" s="68">
        <f>('P or L'!P13/'P or L'!O13)-1</f>
        <v>0.37000000000000011</v>
      </c>
      <c r="Q12" s="68">
        <f>('P or L'!Q13/'P or L'!P13)-1</f>
        <v>0.31000000000000005</v>
      </c>
      <c r="R12" s="68">
        <f>('P or L'!R13/'P or L'!Q13)-1</f>
        <v>0.25</v>
      </c>
    </row>
    <row r="13" spans="1:26" ht="15" customHeight="1">
      <c r="D13" s="25" t="s">
        <v>305</v>
      </c>
      <c r="E13" s="25" t="s">
        <v>171</v>
      </c>
      <c r="F13" s="77"/>
      <c r="G13" s="68">
        <f t="shared" si="2"/>
        <v>0.44591456626011849</v>
      </c>
      <c r="L13" s="68">
        <f>'P or L'!L15/'P or L'!L13</f>
        <v>0.44202464699858551</v>
      </c>
      <c r="M13" s="68">
        <f>'P or L'!M15/'P or L'!M13</f>
        <v>0.4525481357421991</v>
      </c>
      <c r="N13" s="68">
        <f>'P or L'!N15/'P or L'!N13</f>
        <v>0.44317091603957071</v>
      </c>
      <c r="O13" s="68">
        <f>'P or L'!O15/'P or L'!O13</f>
        <v>0.44591456626011844</v>
      </c>
      <c r="P13" s="68">
        <f>'P or L'!P15/'P or L'!P13</f>
        <v>0.44591456626011849</v>
      </c>
      <c r="Q13" s="68">
        <f>'P or L'!Q15/'P or L'!Q13</f>
        <v>0.44591456626011855</v>
      </c>
      <c r="R13" s="68">
        <f>'P or L'!R15/'P or L'!R13</f>
        <v>0.44591456626011844</v>
      </c>
    </row>
    <row r="14" spans="1:26" ht="15" customHeight="1">
      <c r="D14" s="25" t="s">
        <v>306</v>
      </c>
      <c r="E14" s="25" t="s">
        <v>171</v>
      </c>
      <c r="F14" s="77"/>
      <c r="G14" s="68">
        <f t="shared" si="2"/>
        <v>0.23385361616500455</v>
      </c>
      <c r="L14" s="68">
        <f>'P or L'!L19/'P or L'!L13</f>
        <v>0.20267598968331108</v>
      </c>
      <c r="M14" s="68">
        <f>'P or L'!M19/'P or L'!M13</f>
        <v>0.24412026511777074</v>
      </c>
      <c r="N14" s="68">
        <f>'P or L'!N19/'P or L'!N13</f>
        <v>0.25476459369393167</v>
      </c>
      <c r="O14" s="68">
        <f>'P or L'!O19/'P or L'!O13</f>
        <v>0.2338536161650045</v>
      </c>
      <c r="P14" s="68">
        <f>'P or L'!P19/'P or L'!P13</f>
        <v>0.23385361616500455</v>
      </c>
      <c r="Q14" s="68">
        <f>'P or L'!Q19/'P or L'!Q13</f>
        <v>0.23385361616500458</v>
      </c>
      <c r="R14" s="68">
        <f>'P or L'!R19/'P or L'!R13</f>
        <v>0.23385361616500452</v>
      </c>
    </row>
    <row r="15" spans="1:26" ht="15" customHeight="1">
      <c r="D15" s="25" t="s">
        <v>307</v>
      </c>
      <c r="E15" s="25" t="s">
        <v>171</v>
      </c>
      <c r="F15" s="77"/>
      <c r="G15" s="68">
        <f t="shared" si="2"/>
        <v>9.6384276719232609E-2</v>
      </c>
      <c r="L15" s="68">
        <f>'P or L'!L30/'P or L'!L13</f>
        <v>6.8003184295433727E-2</v>
      </c>
      <c r="M15" s="68">
        <f>'P or L'!M30/'P or L'!M13</f>
        <v>5.2251042297687345E-2</v>
      </c>
      <c r="N15" s="68">
        <f>'P or L'!N30/'P or L'!N13</f>
        <v>8.3012530676016563E-2</v>
      </c>
      <c r="O15" s="68">
        <f>'P or L'!O30/'P or L'!O13</f>
        <v>8.5726108989350444E-2</v>
      </c>
      <c r="P15" s="68">
        <f>'P or L'!P30/'P or L'!P13</f>
        <v>9.3649781989132708E-2</v>
      </c>
      <c r="Q15" s="68">
        <f>'P or L'!Q30/'P or L'!Q13</f>
        <v>0.10045349875921482</v>
      </c>
      <c r="R15" s="68">
        <f>'P or L'!R30/'P or L'!R13</f>
        <v>0.10570771713923245</v>
      </c>
    </row>
    <row r="17" spans="3:19">
      <c r="C17" s="65" t="s">
        <v>308</v>
      </c>
      <c r="D17" s="65"/>
      <c r="E17" s="65"/>
      <c r="F17" s="65"/>
      <c r="G17" s="65"/>
      <c r="H17" s="65"/>
      <c r="I17" s="65"/>
      <c r="J17" s="67"/>
      <c r="K17" s="67"/>
      <c r="L17" s="67"/>
      <c r="M17" s="67"/>
      <c r="N17" s="67"/>
      <c r="O17" s="67"/>
      <c r="P17" s="67"/>
      <c r="Q17" s="67"/>
      <c r="R17" s="67"/>
    </row>
    <row r="18" spans="3:19" ht="15" customHeight="1">
      <c r="D18" s="19" t="s">
        <v>309</v>
      </c>
      <c r="E18" s="25" t="s">
        <v>171</v>
      </c>
      <c r="F18" s="77"/>
      <c r="G18" s="68">
        <f>AVERAGE(O18:R18)</f>
        <v>0.22480333676094671</v>
      </c>
      <c r="L18" s="68">
        <f t="shared" ref="L18:R18" si="3">L19/L20</f>
        <v>7.6647019119703577E-2</v>
      </c>
      <c r="M18" s="68">
        <f t="shared" si="3"/>
        <v>8.147713981161378E-2</v>
      </c>
      <c r="N18" s="68">
        <f t="shared" si="3"/>
        <v>0.15480464355539683</v>
      </c>
      <c r="O18" s="68">
        <f t="shared" si="3"/>
        <v>0.18131890776258841</v>
      </c>
      <c r="P18" s="68">
        <f t="shared" si="3"/>
        <v>0.21869109839981546</v>
      </c>
      <c r="Q18" s="68">
        <f t="shared" si="3"/>
        <v>0.24472772410735091</v>
      </c>
      <c r="R18" s="68">
        <f t="shared" si="3"/>
        <v>0.25447561677403213</v>
      </c>
    </row>
    <row r="19" spans="3:19" ht="15" customHeight="1">
      <c r="D19" s="25" t="s">
        <v>310</v>
      </c>
      <c r="E19" s="82" t="str">
        <f>currency</f>
        <v>(₦'000)</v>
      </c>
      <c r="L19" s="87">
        <f>'P or L'!L30</f>
        <v>3607593</v>
      </c>
      <c r="M19" s="87">
        <f>'P or L'!M30</f>
        <v>4398963</v>
      </c>
      <c r="N19" s="87">
        <f>'P or L'!N30</f>
        <v>9883576</v>
      </c>
      <c r="O19" s="87">
        <f>'P or L'!O30</f>
        <v>14652470.410174826</v>
      </c>
      <c r="P19" s="87">
        <f>'P or L'!P30</f>
        <v>21929315.650722135</v>
      </c>
      <c r="Q19" s="87">
        <f>'P or L'!Q30</f>
        <v>30814467.805416699</v>
      </c>
      <c r="R19" s="87">
        <f>'P or L'!R30</f>
        <v>40532772.461946875</v>
      </c>
    </row>
    <row r="20" spans="3:19" ht="15.75" customHeight="1">
      <c r="D20" s="25" t="s">
        <v>311</v>
      </c>
      <c r="E20" s="82" t="str">
        <f>currency</f>
        <v>(₦'000)</v>
      </c>
      <c r="L20" s="87">
        <f>BS!L38+BS!L42+BS!L51</f>
        <v>47067623</v>
      </c>
      <c r="M20" s="87">
        <f>BS!M38+BS!M42+BS!M51</f>
        <v>53990150</v>
      </c>
      <c r="N20" s="87">
        <f>BS!N38+BS!N42+BS!N51</f>
        <v>63845475</v>
      </c>
      <c r="O20" s="87">
        <f>BS!O38+BS!O42+BS!O51</f>
        <v>80810493.461388886</v>
      </c>
      <c r="P20" s="87">
        <f>BS!P38+BS!P42+BS!P51</f>
        <v>100275300.69207719</v>
      </c>
      <c r="Q20" s="87">
        <f>BS!Q38+BS!Q42+BS!Q51</f>
        <v>125913269.1966677</v>
      </c>
      <c r="R20" s="87">
        <f>BS!R38+BS!R42+BS!R51</f>
        <v>159279592.18952966</v>
      </c>
    </row>
    <row r="21" spans="3:19" ht="15.75" customHeight="1"/>
    <row r="22" spans="3:19" ht="15" customHeight="1">
      <c r="D22" s="19" t="s">
        <v>312</v>
      </c>
      <c r="E22" s="25" t="s">
        <v>171</v>
      </c>
      <c r="F22" s="77"/>
      <c r="G22" s="68">
        <f>AVERAGE(O22:R22)</f>
        <v>0.38371572991868153</v>
      </c>
      <c r="L22" s="68">
        <f t="shared" ref="L22:R22" si="4">L23/L24</f>
        <v>0.18698268162586307</v>
      </c>
      <c r="M22" s="68">
        <f t="shared" si="4"/>
        <v>0.1968577938173155</v>
      </c>
      <c r="N22" s="68">
        <f t="shared" si="4"/>
        <v>0.32730511718996169</v>
      </c>
      <c r="O22" s="68">
        <f t="shared" si="4"/>
        <v>0.36198769839221029</v>
      </c>
      <c r="P22" s="68">
        <f t="shared" si="4"/>
        <v>0.39254377366969223</v>
      </c>
      <c r="Q22" s="68">
        <f t="shared" si="4"/>
        <v>0.39767901560827279</v>
      </c>
      <c r="R22" s="68">
        <f t="shared" si="4"/>
        <v>0.3826524320045509</v>
      </c>
    </row>
    <row r="23" spans="3:19" ht="15" customHeight="1">
      <c r="D23" s="25" t="s">
        <v>310</v>
      </c>
      <c r="E23" s="82" t="str">
        <f>currency</f>
        <v>(₦'000)</v>
      </c>
      <c r="L23" s="87">
        <f>'P or L'!L30</f>
        <v>3607593</v>
      </c>
      <c r="M23" s="87">
        <f>'P or L'!M30</f>
        <v>4398963</v>
      </c>
      <c r="N23" s="87">
        <f>'P or L'!N30</f>
        <v>9883576</v>
      </c>
      <c r="O23" s="87">
        <f>'P or L'!O30</f>
        <v>14652470.410174826</v>
      </c>
      <c r="P23" s="87">
        <f>'P or L'!P30</f>
        <v>21929315.650722135</v>
      </c>
      <c r="Q23" s="87">
        <f>'P or L'!Q30</f>
        <v>30814467.805416699</v>
      </c>
      <c r="R23" s="87">
        <f>'P or L'!R30</f>
        <v>40532772.461946875</v>
      </c>
    </row>
    <row r="24" spans="3:19" ht="15.75" customHeight="1">
      <c r="D24" s="25" t="s">
        <v>313</v>
      </c>
      <c r="E24" s="82" t="str">
        <f>currency</f>
        <v>(₦'000)</v>
      </c>
      <c r="L24" s="87">
        <f>BS!L38</f>
        <v>19293728</v>
      </c>
      <c r="M24" s="87">
        <f>BS!M38</f>
        <v>22345892</v>
      </c>
      <c r="N24" s="87">
        <f>BS!N38</f>
        <v>30196827</v>
      </c>
      <c r="O24" s="87">
        <f>BS!O38</f>
        <v>40477813.128055558</v>
      </c>
      <c r="P24" s="87">
        <f>BS!P38</f>
        <v>55864637.580966085</v>
      </c>
      <c r="Q24" s="87">
        <f>BS!Q38</f>
        <v>77485777.715186223</v>
      </c>
      <c r="R24" s="87">
        <f>BS!R38</f>
        <v>105925819.54755436</v>
      </c>
    </row>
    <row r="25" spans="3:19" ht="15.75" customHeight="1"/>
    <row r="26" spans="3:19" ht="15" customHeight="1">
      <c r="D26" s="19" t="s">
        <v>314</v>
      </c>
      <c r="E26" s="25" t="s">
        <v>171</v>
      </c>
      <c r="F26" s="77"/>
      <c r="G26" s="68">
        <f>AVERAGE(O26:R26)</f>
        <v>0.16266461546308744</v>
      </c>
      <c r="L26" s="68">
        <f t="shared" ref="L26:R26" si="5">L27/L28</f>
        <v>5.8195313309843733E-2</v>
      </c>
      <c r="M26" s="68">
        <f t="shared" si="5"/>
        <v>5.985514633406936E-2</v>
      </c>
      <c r="N26" s="68">
        <f t="shared" si="5"/>
        <v>0.1231031612750861</v>
      </c>
      <c r="O26" s="68">
        <f t="shared" si="5"/>
        <v>0.1300251516826848</v>
      </c>
      <c r="P26" s="68">
        <f t="shared" si="5"/>
        <v>0.15424888212394111</v>
      </c>
      <c r="Q26" s="68">
        <f t="shared" si="5"/>
        <v>0.17506217591480069</v>
      </c>
      <c r="R26" s="68">
        <f t="shared" si="5"/>
        <v>0.19132225213092313</v>
      </c>
    </row>
    <row r="27" spans="3:19" ht="15" customHeight="1">
      <c r="D27" s="25" t="s">
        <v>310</v>
      </c>
      <c r="E27" s="82" t="str">
        <f>currency</f>
        <v>(₦'000)</v>
      </c>
      <c r="L27" s="87">
        <f>'P or L'!L30</f>
        <v>3607593</v>
      </c>
      <c r="M27" s="87">
        <f>'P or L'!M30</f>
        <v>4398963</v>
      </c>
      <c r="N27" s="87">
        <f>'P or L'!N30</f>
        <v>9883576</v>
      </c>
      <c r="O27" s="87">
        <f>'P or L'!O30</f>
        <v>14652470.410174826</v>
      </c>
      <c r="P27" s="87">
        <f>'P or L'!P30</f>
        <v>21929315.650722135</v>
      </c>
      <c r="Q27" s="87">
        <f>'P or L'!Q30</f>
        <v>30814467.805416699</v>
      </c>
      <c r="R27" s="87">
        <f>'P or L'!R30</f>
        <v>40532772.461946875</v>
      </c>
    </row>
    <row r="28" spans="3:19" ht="15.75" customHeight="1">
      <c r="D28" s="25" t="s">
        <v>80</v>
      </c>
      <c r="E28" s="82" t="str">
        <f>currency</f>
        <v>(₦'000)</v>
      </c>
      <c r="L28" s="87">
        <f>BS!L31</f>
        <v>61991126</v>
      </c>
      <c r="M28" s="87">
        <f>BS!M31</f>
        <v>73493480</v>
      </c>
      <c r="N28" s="87">
        <f>BS!N31</f>
        <v>80286939</v>
      </c>
      <c r="O28" s="87">
        <f>BS!O31</f>
        <v>112689508.30323136</v>
      </c>
      <c r="P28" s="87">
        <f>BS!P31</f>
        <v>142168392.7219753</v>
      </c>
      <c r="Q28" s="87">
        <f>BS!Q31</f>
        <v>176020134.81435016</v>
      </c>
      <c r="R28" s="87">
        <f>BS!R31</f>
        <v>211856028.3004092</v>
      </c>
    </row>
    <row r="29" spans="3:19" ht="15.75" customHeight="1"/>
    <row r="30" spans="3:19" ht="15" customHeight="1">
      <c r="D30" s="19" t="s">
        <v>315</v>
      </c>
      <c r="E30" s="25" t="s">
        <v>316</v>
      </c>
      <c r="F30" s="77"/>
      <c r="G30" s="90">
        <f>AVERAGE(O30:R30)</f>
        <v>1.6791172778974981</v>
      </c>
      <c r="L30" s="90">
        <f t="shared" ref="L30:R30" si="6">L31/L32</f>
        <v>0.85577335698015877</v>
      </c>
      <c r="M30" s="90">
        <f t="shared" si="6"/>
        <v>1.1455301885282885</v>
      </c>
      <c r="N30" s="90">
        <f t="shared" si="6"/>
        <v>1.4829467343374494</v>
      </c>
      <c r="O30" s="90">
        <f t="shared" si="6"/>
        <v>1.5167508850639368</v>
      </c>
      <c r="P30" s="90">
        <f t="shared" si="6"/>
        <v>1.6470821271302096</v>
      </c>
      <c r="Q30" s="90">
        <f t="shared" si="6"/>
        <v>1.7427185521374571</v>
      </c>
      <c r="R30" s="90">
        <f t="shared" si="6"/>
        <v>1.8099175472583886</v>
      </c>
    </row>
    <row r="31" spans="3:19" ht="15" customHeight="1">
      <c r="D31" s="25" t="str">
        <f>'P or L'!D13</f>
        <v>Revenue from contracts with customers</v>
      </c>
      <c r="E31" s="82" t="str">
        <f>currency</f>
        <v>(₦'000)</v>
      </c>
      <c r="L31" s="25">
        <f>'P or L'!L13</f>
        <v>53050354</v>
      </c>
      <c r="M31" s="25">
        <f>'P or L'!M13</f>
        <v>84189000</v>
      </c>
      <c r="N31" s="25">
        <f>'P or L'!N13</f>
        <v>119061254</v>
      </c>
      <c r="O31" s="25">
        <f>'P or L'!O13</f>
        <v>170921911.45634604</v>
      </c>
      <c r="P31" s="25">
        <f>'P or L'!P13</f>
        <v>234163018.6951941</v>
      </c>
      <c r="Q31" s="25">
        <f>'P or L'!Q13</f>
        <v>306753554.4907043</v>
      </c>
      <c r="R31" s="25">
        <f>'P or L'!R13</f>
        <v>383441943.11338037</v>
      </c>
      <c r="S31" s="25"/>
    </row>
    <row r="32" spans="3:19" ht="15.75" customHeight="1">
      <c r="D32" s="25" t="str">
        <f>BS!D31</f>
        <v>Total Assets</v>
      </c>
      <c r="E32" s="82" t="str">
        <f>currency</f>
        <v>(₦'000)</v>
      </c>
      <c r="L32" s="25">
        <f>BS!L31</f>
        <v>61991126</v>
      </c>
      <c r="M32" s="25">
        <f>BS!M31</f>
        <v>73493480</v>
      </c>
      <c r="N32" s="25">
        <f>BS!N31</f>
        <v>80286939</v>
      </c>
      <c r="O32" s="25">
        <f>BS!O31</f>
        <v>112689508.30323136</v>
      </c>
      <c r="P32" s="25">
        <f>BS!P31</f>
        <v>142168392.7219753</v>
      </c>
      <c r="Q32" s="25">
        <f>BS!Q31</f>
        <v>176020134.81435016</v>
      </c>
      <c r="R32" s="25">
        <f>BS!R31</f>
        <v>211856028.3004092</v>
      </c>
    </row>
    <row r="33" spans="3:18" ht="15.75" customHeight="1"/>
    <row r="34" spans="3:18" ht="15.75" customHeight="1">
      <c r="C34" s="65" t="s">
        <v>317</v>
      </c>
      <c r="D34" s="65"/>
      <c r="E34" s="65"/>
      <c r="F34" s="65"/>
      <c r="G34" s="65"/>
      <c r="H34" s="65"/>
      <c r="I34" s="65"/>
      <c r="J34" s="67"/>
      <c r="K34" s="67"/>
      <c r="L34" s="67"/>
      <c r="M34" s="67"/>
      <c r="N34" s="67"/>
      <c r="O34" s="67"/>
      <c r="P34" s="67"/>
      <c r="Q34" s="67"/>
      <c r="R34" s="67"/>
    </row>
    <row r="35" spans="3:18" ht="15" customHeight="1">
      <c r="D35" s="19" t="s">
        <v>318</v>
      </c>
      <c r="E35" s="25" t="s">
        <v>316</v>
      </c>
      <c r="F35" s="77"/>
      <c r="G35" s="90">
        <f t="shared" ref="G35:G37" si="7">AVERAGE(O35:R35)</f>
        <v>5.7016751576377489</v>
      </c>
      <c r="L35" s="90">
        <f>'P or L'!L23/'P or L'!L27</f>
        <v>4.5127933818869694</v>
      </c>
      <c r="M35" s="90">
        <f>'P or L'!M23/'P or L'!M27</f>
        <v>3.4374231636918706</v>
      </c>
      <c r="N35" s="90">
        <f>'P or L'!N23/'P or L'!N27</f>
        <v>3.9400408312727664</v>
      </c>
      <c r="O35" s="90">
        <f>'P or L'!O23/'P or L'!O27</f>
        <v>5.0555118077391299</v>
      </c>
      <c r="P35" s="90">
        <f>'P or L'!P23/'P or L'!P27</f>
        <v>5.2833372662701992</v>
      </c>
      <c r="Q35" s="90">
        <f>'P or L'!Q23/'P or L'!Q27</f>
        <v>5.8389044208712519</v>
      </c>
      <c r="R35" s="90">
        <f>'P or L'!R23/'P or L'!R27</f>
        <v>6.6289471356704164</v>
      </c>
    </row>
    <row r="36" spans="3:18" ht="15.75" customHeight="1">
      <c r="D36" s="25" t="s">
        <v>319</v>
      </c>
      <c r="E36" s="25" t="s">
        <v>316</v>
      </c>
      <c r="F36" s="77"/>
      <c r="G36" s="90">
        <f t="shared" si="7"/>
        <v>1.7631371071601929</v>
      </c>
      <c r="L36" s="90">
        <f>BS!L30/BS!L53</f>
        <v>1.8408335294293572</v>
      </c>
      <c r="M36" s="90">
        <f>BS!M30/BS!M53</f>
        <v>1.6060338909209677</v>
      </c>
      <c r="N36" s="90">
        <f>BS!N30/BS!N53</f>
        <v>1.5959956898831116</v>
      </c>
      <c r="O36" s="90">
        <f>BS!O30/BS!O53</f>
        <v>1.5687988415272385</v>
      </c>
      <c r="P36" s="90">
        <f>BS!P30/BS!P53</f>
        <v>1.6438323908169641</v>
      </c>
      <c r="Q36" s="90">
        <f>BS!Q30/BS!Q53</f>
        <v>1.7968825536766968</v>
      </c>
      <c r="R36" s="90">
        <f>BS!R30/BS!R53</f>
        <v>2.0430346426198724</v>
      </c>
    </row>
    <row r="37" spans="3:18" ht="15.75" customHeight="1">
      <c r="D37" s="25" t="s">
        <v>320</v>
      </c>
      <c r="E37" s="25" t="s">
        <v>316</v>
      </c>
      <c r="F37" s="77"/>
      <c r="G37" s="90">
        <f t="shared" si="7"/>
        <v>2.2512037891338474E-2</v>
      </c>
      <c r="L37" s="90">
        <f>BS!L29/BS!L54</f>
        <v>0.25262998461873487</v>
      </c>
      <c r="M37" s="90">
        <f>BS!M29/BS!M54</f>
        <v>9.641447803951185E-2</v>
      </c>
      <c r="N37" s="90">
        <f>BS!N29/BS!N54</f>
        <v>9.4046864978061931E-2</v>
      </c>
      <c r="O37" s="90">
        <f>BS!O29/BS!O54</f>
        <v>2.7696344686941238E-2</v>
      </c>
      <c r="P37" s="90">
        <f>BS!P29/BS!P54</f>
        <v>2.317396267094355E-2</v>
      </c>
      <c r="Q37" s="90">
        <f>BS!Q29/BS!Q54</f>
        <v>2.0297488702211975E-2</v>
      </c>
      <c r="R37" s="90">
        <f>BS!R29/BS!R54</f>
        <v>1.8880355505257133E-2</v>
      </c>
    </row>
    <row r="38" spans="3:18" ht="15.75" customHeight="1"/>
    <row r="39" spans="3:18" ht="15.75" customHeight="1"/>
    <row r="40" spans="3:18" ht="15.75" customHeight="1"/>
    <row r="41" spans="3:18" ht="15.75" customHeight="1"/>
    <row r="42" spans="3:18" ht="15.75" customHeight="1"/>
    <row r="43" spans="3:18" ht="15.75" customHeight="1"/>
    <row r="44" spans="3:18" ht="15.75" customHeight="1"/>
    <row r="45" spans="3:18" ht="15.75" customHeight="1"/>
    <row r="46" spans="3:18" ht="15.75" customHeight="1"/>
    <row r="47" spans="3:18" ht="15.75" customHeight="1"/>
    <row r="48" spans="3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866141732283472" right="0.70866141732283472" top="0.74803149606299213" bottom="0.74803149606299213" header="0" footer="0"/>
  <pageSetup fitToHeight="0" orientation="landscape"/>
  <headerFooter>
    <oddHeader>&amp;L&amp;F&amp;CPage&amp;P of &amp;RPrinted on &amp;D &amp;T</oddHead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00"/>
          <x14:sparklines>
            <x14:sparkline>
              <xm:f>Analysis!O37:R37</xm:f>
              <xm:sqref>F37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Analysis!O36:R36</xm:f>
              <xm:sqref>F36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Analysis!O35:R35</xm:f>
              <xm:sqref>F35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Analysis!O30:R30</xm:f>
              <xm:sqref>F30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Analysis!O26:R26</xm:f>
              <xm:sqref>F26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Analysis!O22:R22</xm:f>
              <xm:sqref>F22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Analysis!O18:R18</xm:f>
              <xm:sqref>F18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Analysis!O15:R15</xm:f>
              <xm:sqref>F15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Analysis!O14:R14</xm:f>
              <xm:sqref>F14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Analysis!O13:R13</xm:f>
              <xm:sqref>F13</xm:sqref>
            </x14:sparkline>
          </x14:sparklines>
        </x14:sparklineGroup>
        <x14:sparklineGroup type="column" displayEmptyCellsAs="gap">
          <x14:colorSeries rgb="FF000000"/>
          <x14:sparklines>
            <x14:sparkline>
              <xm:f>Analysis!O12:R12</xm:f>
              <xm:sqref>F12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Cover Page</vt:lpstr>
      <vt:lpstr>Guide</vt:lpstr>
      <vt:lpstr>summary</vt:lpstr>
      <vt:lpstr>Historical</vt:lpstr>
      <vt:lpstr>Drivers</vt:lpstr>
      <vt:lpstr>Scenario</vt:lpstr>
      <vt:lpstr>Calculation</vt:lpstr>
      <vt:lpstr>P or L</vt:lpstr>
      <vt:lpstr>BS</vt:lpstr>
      <vt:lpstr>Cashflow</vt:lpstr>
      <vt:lpstr>Analysis</vt:lpstr>
      <vt:lpstr>BSCheck</vt:lpstr>
      <vt:lpstr>circularityswitch</vt:lpstr>
      <vt:lpstr>COY</vt:lpstr>
      <vt:lpstr>currency</vt:lpstr>
      <vt:lpstr>livescenario</vt:lpstr>
      <vt:lpstr>scenariolist</vt:lpstr>
      <vt:lpstr>scenarioswitch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2026-10-11T02:17:04Z</dcterms:created>
  <dcterms:modified xsi:type="dcterms:W3CDTF">2026-10-11T02:17:06Z</dcterms:modified>
</cp:coreProperties>
</file>